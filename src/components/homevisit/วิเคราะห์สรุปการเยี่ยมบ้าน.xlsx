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uChet\Downloads\"/>
    </mc:Choice>
  </mc:AlternateContent>
  <xr:revisionPtr revIDLastSave="0" documentId="13_ncr:1_{D5E41098-E2E1-475F-ADEC-9DFCDE24827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g4pVFxlEieS23NR99uakOSx4nfOw=="/>
    </ext>
  </extLst>
</workbook>
</file>

<file path=xl/calcChain.xml><?xml version="1.0" encoding="utf-8"?>
<calcChain xmlns="http://schemas.openxmlformats.org/spreadsheetml/2006/main">
  <c r="L140" i="1" l="1"/>
  <c r="L139" i="1"/>
  <c r="L138" i="1"/>
  <c r="L137" i="1"/>
  <c r="L135" i="1"/>
  <c r="L134" i="1"/>
  <c r="L132" i="1"/>
  <c r="L131" i="1"/>
  <c r="L130" i="1"/>
  <c r="L129" i="1"/>
  <c r="L128" i="1"/>
  <c r="L127" i="1"/>
  <c r="L126" i="1"/>
  <c r="L125" i="1"/>
  <c r="L124" i="1"/>
  <c r="L123" i="1"/>
  <c r="L121" i="1"/>
  <c r="L120" i="1"/>
  <c r="L119" i="1"/>
  <c r="L118" i="1"/>
  <c r="L117" i="1"/>
  <c r="L116" i="1"/>
  <c r="L114" i="1"/>
  <c r="L113" i="1"/>
  <c r="L112" i="1"/>
  <c r="L111" i="1"/>
  <c r="L110" i="1"/>
  <c r="L108" i="1"/>
  <c r="L107" i="1"/>
  <c r="L106" i="1"/>
  <c r="L105" i="1"/>
  <c r="L104" i="1"/>
  <c r="L102" i="1"/>
  <c r="L101" i="1"/>
  <c r="L100" i="1"/>
  <c r="L99" i="1"/>
  <c r="L98" i="1"/>
  <c r="L97" i="1"/>
  <c r="L96" i="1"/>
  <c r="L95" i="1"/>
  <c r="L94" i="1"/>
  <c r="L92" i="1"/>
  <c r="L91" i="1"/>
  <c r="L90" i="1"/>
  <c r="L89" i="1"/>
  <c r="L88" i="1"/>
  <c r="L87" i="1"/>
  <c r="L85" i="1"/>
  <c r="L84" i="1"/>
  <c r="L82" i="1"/>
  <c r="L81" i="1"/>
  <c r="L80" i="1"/>
  <c r="L79" i="1"/>
  <c r="L78" i="1"/>
  <c r="L77" i="1"/>
  <c r="L76" i="1"/>
  <c r="L75" i="1"/>
  <c r="L72" i="1"/>
  <c r="L71" i="1"/>
  <c r="L70" i="1"/>
  <c r="L69" i="1"/>
  <c r="L68" i="1"/>
  <c r="L67" i="1"/>
  <c r="L66" i="1"/>
  <c r="L65" i="1"/>
  <c r="L64" i="1"/>
  <c r="L63" i="1"/>
  <c r="L62" i="1"/>
  <c r="L60" i="1"/>
  <c r="L59" i="1"/>
  <c r="L58" i="1"/>
  <c r="L57" i="1"/>
  <c r="L56" i="1"/>
  <c r="L53" i="1"/>
  <c r="L52" i="1"/>
  <c r="L51" i="1"/>
  <c r="L49" i="1"/>
  <c r="L48" i="1"/>
  <c r="L47" i="1"/>
  <c r="L46" i="1"/>
  <c r="L44" i="1"/>
  <c r="L43" i="1"/>
  <c r="L42" i="1"/>
  <c r="L41" i="1"/>
  <c r="L40" i="1"/>
  <c r="L39" i="1"/>
  <c r="L32" i="1"/>
  <c r="L31" i="1"/>
  <c r="L30" i="1"/>
  <c r="L29" i="1"/>
  <c r="M27" i="1"/>
  <c r="M26" i="1"/>
  <c r="M25" i="1"/>
  <c r="M24" i="1"/>
  <c r="M23" i="1"/>
  <c r="M22" i="1"/>
  <c r="M21" i="1"/>
  <c r="K27" i="1"/>
  <c r="K26" i="1"/>
  <c r="K25" i="1"/>
  <c r="K24" i="1"/>
  <c r="K23" i="1"/>
  <c r="K22" i="1"/>
  <c r="K21" i="1"/>
  <c r="I27" i="1"/>
  <c r="I26" i="1"/>
  <c r="I25" i="1"/>
  <c r="I24" i="1"/>
  <c r="I23" i="1"/>
  <c r="I22" i="1"/>
  <c r="I21" i="1"/>
  <c r="G26" i="1"/>
  <c r="G25" i="1"/>
  <c r="G24" i="1"/>
  <c r="G23" i="1"/>
  <c r="G22" i="1"/>
  <c r="G21" i="1"/>
  <c r="E21" i="1"/>
  <c r="E27" i="1"/>
  <c r="E26" i="1"/>
  <c r="E25" i="1"/>
  <c r="E24" i="1"/>
  <c r="E23" i="1"/>
  <c r="E22" i="1"/>
  <c r="L17" i="1"/>
  <c r="L16" i="1"/>
  <c r="L15" i="1"/>
  <c r="L14" i="1"/>
  <c r="L11" i="1"/>
  <c r="L10" i="1"/>
  <c r="L9" i="1"/>
  <c r="L7" i="1"/>
  <c r="L6" i="1"/>
  <c r="G27" i="1"/>
</calcChain>
</file>

<file path=xl/sharedStrings.xml><?xml version="1.0" encoding="utf-8"?>
<sst xmlns="http://schemas.openxmlformats.org/spreadsheetml/2006/main" count="204" uniqueCount="135">
  <si>
    <t>1. ข้อมูลนักเรียน</t>
  </si>
  <si>
    <t>จำนวน</t>
  </si>
  <si>
    <t>ร้อยละ</t>
  </si>
  <si>
    <t>หมายเหตุ</t>
  </si>
  <si>
    <t>เพศชาย</t>
  </si>
  <si>
    <t>เพศหญิง</t>
  </si>
  <si>
    <t>2. ข้อมูลผู้ปกครอง</t>
  </si>
  <si>
    <t xml:space="preserve">มีผู้ปกครอง </t>
  </si>
  <si>
    <t>ไม่มีผู้ปกครอง</t>
  </si>
  <si>
    <t>เคยลงทะเบียนเพื่อสวัสดิการแห่งรัฐ</t>
  </si>
  <si>
    <t>3. ความสัมพันธ์ในครอบครัว</t>
  </si>
  <si>
    <t>เวลาสมาชิกในครอบครัวมีเวลาอยู่ร่วมกัน/วัน</t>
  </si>
  <si>
    <t>มากกว่า 10 ชม./วัน</t>
  </si>
  <si>
    <t>9-7  ชม./วัน</t>
  </si>
  <si>
    <t>4-6 ชม./วัน</t>
  </si>
  <si>
    <t>น้อยกว่า 5 ชม./วัน</t>
  </si>
  <si>
    <t>ความสัมพันธ์ระหว่างนักเรียนกับสมาชิกในครอบครัว</t>
  </si>
  <si>
    <t>สมาชิก</t>
  </si>
  <si>
    <t>สนิทสนม</t>
  </si>
  <si>
    <t>เฉย</t>
  </si>
  <si>
    <t>ห่างหิน</t>
  </si>
  <si>
    <t>ขัดแย้ง</t>
  </si>
  <si>
    <t>ไม่มี</t>
  </si>
  <si>
    <t>บิดา</t>
  </si>
  <si>
    <t>มารดา</t>
  </si>
  <si>
    <t>พี่ชาย/น้องชาย</t>
  </si>
  <si>
    <t>พี่สาว/น้องสาว</t>
  </si>
  <si>
    <t>ปู่/ย่า/ตา/ยาย</t>
  </si>
  <si>
    <t>ญาติ</t>
  </si>
  <si>
    <t xml:space="preserve">อื่นๆ </t>
  </si>
  <si>
    <t>กรณีที่ผู้ปกครองไม่อยู่บ้านฝากเด็กนักเรียนอยู่บ้านกับใคร</t>
  </si>
  <si>
    <t>เพื่อนบ้าน</t>
  </si>
  <si>
    <t>นักเรียนอยู่บ้านด้วยตนเอง</t>
  </si>
  <si>
    <t xml:space="preserve">อื่น ๆ </t>
  </si>
  <si>
    <t>รายได้ครัวเรือนเฉลี่ยต่อคน</t>
  </si>
  <si>
    <t>มากว่า 100,001 บาท/ปี</t>
  </si>
  <si>
    <t>50,001-100,000บาท/ปี</t>
  </si>
  <si>
    <t>30,001-50,000 บาท/ปี</t>
  </si>
  <si>
    <t>20,001-30,000 บาท/ปี</t>
  </si>
  <si>
    <t>10,001-20,000 บาท/ปี</t>
  </si>
  <si>
    <t>ต่ำกว่า 10,000 บาท/ปี</t>
  </si>
  <si>
    <t>สิ่งที่ผู้ปกครองต้องการให้โรงเรียนช่วยเหลือนักเรียน</t>
  </si>
  <si>
    <t>ด้านการเรียน</t>
  </si>
  <si>
    <t>ด้านพฤติกรรม</t>
  </si>
  <si>
    <t>ด้านเศรษฐกิจ (ขอรับทุน)</t>
  </si>
  <si>
    <t>ความช่วยเหลือที่ครอบครัวเคยได้รับจากหน่วยงานหรือต้องการได้รับการช่วยเหลือ</t>
  </si>
  <si>
    <t>เบี้ยผู้สูงอายุ</t>
  </si>
  <si>
    <t>เบี้ยพิการ</t>
  </si>
  <si>
    <t>4.พฤติกรรมและความเสี่ยง</t>
  </si>
  <si>
    <t>สุขภาพ</t>
  </si>
  <si>
    <t>สุขภาพไม่แข็งแรง</t>
  </si>
  <si>
    <t>มีโรคประจำตัวหรือเจ็บป่วยบ่อย</t>
  </si>
  <si>
    <t>มีภาวะทุพโภชนาการ</t>
  </si>
  <si>
    <t>ป่วยเป็นโรคร้ายแรง/เรื้อรัง</t>
  </si>
  <si>
    <t>สมรรถภาพทางร่างกายต่ำ</t>
  </si>
  <si>
    <t>สวัสดิการหรือความปลอดภัย</t>
  </si>
  <si>
    <t>ที่พักอาศัยอยู่ในชุมชนแออัดหรือใกล้แหล่งมั่วสุม/สถานเริงรมย์</t>
  </si>
  <si>
    <t xml:space="preserve"> มีบุคคลในครอบครัวเจ็บป่วยด้วยโรคร้ายแรง/เรื้อรัง/ติดต่อ</t>
  </si>
  <si>
    <t xml:space="preserve"> บุคคลในครอบครัวติดสารเสพติด</t>
  </si>
  <si>
    <t>บุคคลในครอบครัวเล่นการพนัน</t>
  </si>
  <si>
    <t>มีความขัดแย้ง/ทะเลาะกันในครอบครัว</t>
  </si>
  <si>
    <t>ไม่มีผู้ดูแล</t>
  </si>
  <si>
    <t xml:space="preserve"> มีความขัดแย้งและมีการใช้ความรุนแรงในครอบครัว</t>
  </si>
  <si>
    <t>ถูกทารุณ/ทำร้ายจากบุคคลในครอบครัว/เพื่อนบ้าน</t>
  </si>
  <si>
    <t>ถูกล่วงละเมิดทางเพศ</t>
  </si>
  <si>
    <t>เล่นการพนัน</t>
  </si>
  <si>
    <t>การเดินทางของนักเรียนปโรงเรียน</t>
  </si>
  <si>
    <t xml:space="preserve">ผู้ปกครองมาส่ง </t>
  </si>
  <si>
    <t xml:space="preserve"> รถโดยสารประจำทาง</t>
  </si>
  <si>
    <t>รถจักรยานยนต์</t>
  </si>
  <si>
    <t>รถโรงเรียน</t>
  </si>
  <si>
    <t>รถยนต์</t>
  </si>
  <si>
    <t>รถจักรยาน</t>
  </si>
  <si>
    <t>เดิน</t>
  </si>
  <si>
    <t>อื่น ๆ</t>
  </si>
  <si>
    <t>สภาพที่อยู่อาศัย</t>
  </si>
  <si>
    <t>สภาพบ้านชำรุดทรุดโทรม หรือ บ้านทำจากวัสดุพื้นบ้าน เช่น ไม้ไผ่ ใบจากหรือวัสดุเหลือใช้</t>
  </si>
  <si>
    <t>ไม่มีห้องส้วมในที่อยู่อาศัยและบริเวณ</t>
  </si>
  <si>
    <t>ภาระงานความรับผิดชอบของนักเรียนที่มีต่อครอบครัว</t>
  </si>
  <si>
    <t>ช่วยงานบ้าน</t>
  </si>
  <si>
    <t>ช่วยคนดูแลคนเจ็บป่วย/พิการ</t>
  </si>
  <si>
    <t>ช่วยค้าขายเล็กๆน้อยๆ</t>
  </si>
  <si>
    <t>ทำงานแถวบ้าน</t>
  </si>
  <si>
    <t>ช่วยงานในนาไร่</t>
  </si>
  <si>
    <t>กิจกรรมยามว่างหรืองานอดิเรก</t>
  </si>
  <si>
    <t xml:space="preserve">ดูทีวี/ ฟังเพลง </t>
  </si>
  <si>
    <t xml:space="preserve">อ่านหนังสือ </t>
  </si>
  <si>
    <t xml:space="preserve">แว้น / สก๊อย </t>
  </si>
  <si>
    <t xml:space="preserve"> ไปสวนสาธารณะ </t>
  </si>
  <si>
    <t xml:space="preserve">ไปเที่ยวห้าง / ดูหนัง </t>
  </si>
  <si>
    <t xml:space="preserve">ไปหาเพื่อน / เพื่อน </t>
  </si>
  <si>
    <t xml:space="preserve">เล่นเกม คอม / มือถือ </t>
  </si>
  <si>
    <t>ไปร้านสนุกเกอร์</t>
  </si>
  <si>
    <t>พฤติกรรมการใช้สารเสพติด</t>
  </si>
  <si>
    <t>คบเพื่อนในกลุ่มที่ใช้สารเสพติด</t>
  </si>
  <si>
    <t xml:space="preserve">สมาชิกในครอบครัวข้องเกี่ยวกับยาเสพติด </t>
  </si>
  <si>
    <t xml:space="preserve">อยู่ในสภาพแวดล้อมที่ใช้สารเสพติด </t>
  </si>
  <si>
    <t xml:space="preserve"> ปัจจุบันเกี่ยวข้องกับสารเสพติด </t>
  </si>
  <si>
    <t>เป็นผู้ติดบุหรี่สุรา หรือการใช้สารเสพติดอื่นๆ</t>
  </si>
  <si>
    <t>พฤติกรรมการใช้ความรุนแรง</t>
  </si>
  <si>
    <t>มีการทะเลาะวิวาท</t>
  </si>
  <si>
    <t xml:space="preserve">ก้าวร้าว เกเร </t>
  </si>
  <si>
    <t xml:space="preserve">ทะเลาะวิวาทเป็นประจำ </t>
  </si>
  <si>
    <t xml:space="preserve">ทำร้ายร่างกายผู้อื่น </t>
  </si>
  <si>
    <t xml:space="preserve"> ทำร้ายร่างกายตนเอง</t>
  </si>
  <si>
    <t>พฤติกรรมทางเพศ</t>
  </si>
  <si>
    <t>อยู่ในกลุ่มขายบริการ</t>
  </si>
  <si>
    <t xml:space="preserve">ใช้เครื่องมือสื่อสารที่เกี่ยวข้องกับด้านเพศเป็นเวลานานและบ่อยครั้ง </t>
  </si>
  <si>
    <t>ตั้งครรภ์</t>
  </si>
  <si>
    <t>ขายบริการทางเพศ</t>
  </si>
  <si>
    <t xml:space="preserve">หมกมุ่นในการใช้เครื่องมือสื่อสารที่เกี่ยวข้องทางเพศ </t>
  </si>
  <si>
    <t>มีการมั่วสุมทางเพศ</t>
  </si>
  <si>
    <t xml:space="preserve">การติดเกม </t>
  </si>
  <si>
    <t>เล่นเกมเกินวันละ 1 ชั่วโมง</t>
  </si>
  <si>
    <t xml:space="preserve">ขาดจินตนาการและความคิดสร้างสรรค์ </t>
  </si>
  <si>
    <t>เก็บตัว แยกตัวจากลุ่มเพื่อน</t>
  </si>
  <si>
    <t xml:space="preserve">ใช้จ่ายเงินผิดปกติ </t>
  </si>
  <si>
    <t>อยู่ในกลุ่มเพื่อนเล่นเกม</t>
  </si>
  <si>
    <t xml:space="preserve">ร้านเกมอยู่ใกล้บ้านหรือโรงเรียน </t>
  </si>
  <si>
    <t xml:space="preserve">ใช้เวลาเล่นเกมเกิน 2 ชั่วโมง </t>
  </si>
  <si>
    <t>หมกมุ่น จริงจังในการเล่นเกม</t>
  </si>
  <si>
    <t xml:space="preserve">ใช้เงินสิ้นเปลือง โกหก ลักขโมยเงินเพื่อเล่นเกม </t>
  </si>
  <si>
    <t>อื่นๆ</t>
  </si>
  <si>
    <t>การเข้าถึงสื่อคอมพิวเตอร์และอินเตอร์เน็ตที่บ้าน</t>
  </si>
  <si>
    <t xml:space="preserve">สามารถเข้าถึง Internet ได้จากที่บ้าน </t>
  </si>
  <si>
    <t xml:space="preserve"> ไม่สามารถเข้าถึง Internet ได้จากที่บ้าน</t>
  </si>
  <si>
    <t>การใช้เครื่องมือสื่อสารอิเล็กทรอนิกส์</t>
  </si>
  <si>
    <t xml:space="preserve">เคยใช้โทรศัพท์มือถือในระหว่างการเรียน </t>
  </si>
  <si>
    <t xml:space="preserve"> เข้าใช้line, Facebook, twitter หรือ chat (เกินวันละ 1 ชั่วโมง) </t>
  </si>
  <si>
    <t xml:space="preserve">ใช้โทรศัพท์มือถือในระหว่างเรียน 2 - 3/วัน </t>
  </si>
  <si>
    <t>เข้าใช้line, Facebook, twitter หรือ chat (เกินวันละ 2 ชั่วโมง)</t>
  </si>
  <si>
    <t>พ่อแม่แยกทางกัน หรือแต่งงานใหม่</t>
  </si>
  <si>
    <t>ครูที่ปรึกษา นางสาวนิการักษ์ คำมา และ นายเกียรติศักดิ์ ต้าวก๋า</t>
  </si>
  <si>
    <t>สรุปการเยี่ยมบ้าน ปีการศึกษา 2569</t>
  </si>
  <si>
    <t>ระดับชั้นมัธยมศึกษาปีที่  2/4 โรงเรียนเชียงของวิทยาคม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</si>
</sst>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8"/>
      <name val="TH Sarabun New"/>
      <family val="2"/>
    </font>
    <font>
      <sz val="1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2"/>
      <name val="TH Sarabun New"/>
      <family val="2"/>
    </font>
    <font>
      <sz val="13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3" fillId="0" borderId="0" xfId="0" applyFont="1" applyAlignment="1">
      <alignment vertical="center" textRotation="90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0" borderId="0" xfId="0" applyFont="1" applyAlignment="1">
      <alignment horizontal="left"/>
    </xf>
    <xf numFmtId="16" fontId="3" fillId="0" borderId="0" xfId="0" applyNumberFormat="1" applyFont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2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6" fillId="0" borderId="0" xfId="0" applyFont="1"/>
    <xf numFmtId="0" fontId="4" fillId="3" borderId="1" xfId="0" applyFont="1" applyFill="1" applyBorder="1" applyAlignment="1">
      <alignment vertical="center"/>
    </xf>
    <xf numFmtId="2" fontId="4" fillId="3" borderId="1" xfId="0" applyNumberFormat="1" applyFont="1" applyFill="1" applyBorder="1"/>
    <xf numFmtId="0" fontId="2" fillId="0" borderId="0" xfId="0" applyFont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6" xfId="0" applyFont="1" applyBorder="1"/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/>
    <xf numFmtId="2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2" fillId="0" borderId="5" xfId="0" applyFont="1" applyBorder="1"/>
    <xf numFmtId="0" fontId="5" fillId="0" borderId="3" xfId="0" applyFont="1" applyBorder="1" applyAlignment="1">
      <alignment horizontal="center"/>
    </xf>
    <xf numFmtId="0" fontId="2" fillId="0" borderId="6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view="pageBreakPreview" topLeftCell="A11" zoomScale="130" zoomScaleNormal="100" zoomScaleSheetLayoutView="130" workbookViewId="0">
      <selection activeCell="K8" sqref="K8"/>
    </sheetView>
  </sheetViews>
  <sheetFormatPr defaultColWidth="12.625" defaultRowHeight="15" customHeight="1" x14ac:dyDescent="0.4"/>
  <cols>
    <col min="1" max="1" width="6.75" style="6" customWidth="1"/>
    <col min="2" max="2" width="3.875" style="6" customWidth="1"/>
    <col min="3" max="3" width="9.25" style="6" customWidth="1"/>
    <col min="4" max="10" width="6" style="6" customWidth="1"/>
    <col min="11" max="11" width="7.5" style="34" customWidth="1"/>
    <col min="12" max="12" width="8.125" style="34" customWidth="1"/>
    <col min="13" max="13" width="6.375" style="6" customWidth="1"/>
    <col min="14" max="14" width="4.625" style="6" customWidth="1"/>
    <col min="15" max="26" width="8.625" style="6" customWidth="1"/>
    <col min="27" max="16384" width="12.625" style="6"/>
  </cols>
  <sheetData>
    <row r="1" spans="1:26" s="1" customFormat="1" ht="24.6" customHeight="1" x14ac:dyDescent="0.2">
      <c r="A1" s="42" t="s">
        <v>133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" customFormat="1" ht="24.6" customHeight="1" x14ac:dyDescent="0.2">
      <c r="A2" s="42" t="s">
        <v>134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1" customFormat="1" ht="24.6" customHeight="1" x14ac:dyDescent="0.2">
      <c r="A3" s="42" t="s">
        <v>132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 x14ac:dyDescent="0.5">
      <c r="A4" s="3"/>
      <c r="B4" s="3"/>
      <c r="C4" s="3"/>
      <c r="D4" s="3"/>
      <c r="E4" s="3"/>
      <c r="F4" s="3"/>
      <c r="G4" s="3"/>
      <c r="H4" s="4"/>
      <c r="I4" s="4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 x14ac:dyDescent="0.5">
      <c r="A5" s="7" t="s">
        <v>0</v>
      </c>
      <c r="B5" s="7"/>
      <c r="C5" s="7"/>
      <c r="D5" s="7"/>
      <c r="E5" s="7"/>
      <c r="F5" s="7"/>
      <c r="G5" s="7"/>
      <c r="H5" s="7"/>
      <c r="I5" s="7"/>
      <c r="J5" s="7"/>
      <c r="K5" s="8" t="s">
        <v>1</v>
      </c>
      <c r="L5" s="8" t="s">
        <v>2</v>
      </c>
      <c r="M5" s="9" t="s">
        <v>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 x14ac:dyDescent="0.5">
      <c r="A6" s="10"/>
      <c r="B6" s="4" t="s">
        <v>4</v>
      </c>
      <c r="C6" s="4"/>
      <c r="D6" s="4"/>
      <c r="E6" s="4"/>
      <c r="F6" s="4"/>
      <c r="G6" s="4"/>
      <c r="H6" s="4"/>
      <c r="I6" s="4"/>
      <c r="J6" s="4"/>
      <c r="K6" s="11">
        <v>21</v>
      </c>
      <c r="L6" s="12">
        <f>K6*100/(K6+K7)</f>
        <v>50</v>
      </c>
      <c r="M6" s="1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5">
      <c r="A7" s="10"/>
      <c r="B7" s="4" t="s">
        <v>5</v>
      </c>
      <c r="C7" s="4"/>
      <c r="D7" s="4"/>
      <c r="E7" s="4"/>
      <c r="F7" s="4"/>
      <c r="G7" s="4"/>
      <c r="H7" s="4"/>
      <c r="I7" s="4"/>
      <c r="J7" s="4"/>
      <c r="K7" s="11">
        <v>21</v>
      </c>
      <c r="L7" s="12">
        <f>K7*100/(K6+K7)</f>
        <v>50</v>
      </c>
      <c r="M7" s="1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" customHeight="1" x14ac:dyDescent="0.5">
      <c r="A8" s="14" t="s">
        <v>6</v>
      </c>
      <c r="B8" s="14"/>
      <c r="C8" s="7"/>
      <c r="D8" s="15"/>
      <c r="E8" s="15"/>
      <c r="F8" s="15"/>
      <c r="G8" s="15"/>
      <c r="H8" s="15"/>
      <c r="I8" s="15"/>
      <c r="J8" s="15"/>
      <c r="K8" s="8" t="s">
        <v>1</v>
      </c>
      <c r="L8" s="8" t="s">
        <v>2</v>
      </c>
      <c r="M8" s="9" t="s">
        <v>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1" customHeight="1" x14ac:dyDescent="0.5">
      <c r="A9" s="4"/>
      <c r="B9" s="4" t="s">
        <v>7</v>
      </c>
      <c r="C9" s="4"/>
      <c r="D9" s="4"/>
      <c r="E9" s="4"/>
      <c r="F9" s="4"/>
      <c r="G9" s="4"/>
      <c r="H9" s="4"/>
      <c r="I9" s="4"/>
      <c r="J9" s="4"/>
      <c r="K9" s="11"/>
      <c r="L9" s="12">
        <f>K9*100/(K6+K7)</f>
        <v>0</v>
      </c>
      <c r="M9" s="1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1" customHeight="1" x14ac:dyDescent="0.5">
      <c r="A10" s="4"/>
      <c r="B10" s="4" t="s">
        <v>8</v>
      </c>
      <c r="C10" s="4"/>
      <c r="D10" s="4"/>
      <c r="E10" s="4"/>
      <c r="F10" s="4"/>
      <c r="G10" s="4"/>
      <c r="H10" s="4"/>
      <c r="I10" s="4"/>
      <c r="J10" s="4"/>
      <c r="K10" s="11"/>
      <c r="L10" s="12">
        <f>K10*100/(K6+K7)</f>
        <v>0</v>
      </c>
      <c r="M10" s="1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 x14ac:dyDescent="0.5">
      <c r="A11" s="4"/>
      <c r="B11" s="4" t="s">
        <v>9</v>
      </c>
      <c r="C11" s="4"/>
      <c r="D11" s="4"/>
      <c r="E11" s="4"/>
      <c r="F11" s="4"/>
      <c r="G11" s="4"/>
      <c r="H11" s="4"/>
      <c r="I11" s="4"/>
      <c r="J11" s="4"/>
      <c r="K11" s="11"/>
      <c r="L11" s="12">
        <f>K11*100/(K6+K7)</f>
        <v>0</v>
      </c>
      <c r="M11" s="1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1" customHeight="1" x14ac:dyDescent="0.5">
      <c r="A12" s="14" t="s">
        <v>10</v>
      </c>
      <c r="B12" s="14"/>
      <c r="C12" s="7"/>
      <c r="D12" s="7"/>
      <c r="E12" s="15"/>
      <c r="F12" s="15"/>
      <c r="G12" s="15"/>
      <c r="H12" s="15"/>
      <c r="I12" s="15"/>
      <c r="J12" s="15"/>
      <c r="K12" s="16"/>
      <c r="L12" s="16"/>
      <c r="M12" s="1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x14ac:dyDescent="0.5">
      <c r="A13" s="17">
        <v>3.1</v>
      </c>
      <c r="B13" s="18" t="s">
        <v>11</v>
      </c>
      <c r="C13" s="18"/>
      <c r="D13" s="18"/>
      <c r="E13" s="18"/>
      <c r="F13" s="18"/>
      <c r="G13" s="18"/>
      <c r="H13" s="18"/>
      <c r="I13" s="18"/>
      <c r="J13" s="18"/>
      <c r="K13" s="19" t="s">
        <v>1</v>
      </c>
      <c r="L13" s="19" t="s">
        <v>2</v>
      </c>
      <c r="M13" s="20" t="s">
        <v>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" customHeight="1" x14ac:dyDescent="0.5">
      <c r="A14" s="4"/>
      <c r="B14" s="4"/>
      <c r="C14" s="21" t="s">
        <v>12</v>
      </c>
      <c r="D14" s="4"/>
      <c r="E14" s="4"/>
      <c r="F14" s="4"/>
      <c r="G14" s="4"/>
      <c r="H14" s="4"/>
      <c r="I14" s="4"/>
      <c r="J14" s="4"/>
      <c r="K14" s="11"/>
      <c r="L14" s="12">
        <f>K14*100/(K6+K7)</f>
        <v>0</v>
      </c>
      <c r="M14" s="1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 x14ac:dyDescent="0.5">
      <c r="A15" s="4"/>
      <c r="B15" s="4"/>
      <c r="C15" s="22" t="s">
        <v>13</v>
      </c>
      <c r="D15" s="4"/>
      <c r="E15" s="4"/>
      <c r="F15" s="4"/>
      <c r="G15" s="4"/>
      <c r="H15" s="4"/>
      <c r="I15" s="4"/>
      <c r="J15" s="4"/>
      <c r="K15" s="11"/>
      <c r="L15" s="12">
        <f>K15*100/(K6+K7)</f>
        <v>0</v>
      </c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 x14ac:dyDescent="0.5">
      <c r="A16" s="4"/>
      <c r="B16" s="4"/>
      <c r="C16" s="4" t="s">
        <v>14</v>
      </c>
      <c r="D16" s="4"/>
      <c r="E16" s="4"/>
      <c r="F16" s="4"/>
      <c r="G16" s="4"/>
      <c r="H16" s="4"/>
      <c r="I16" s="4"/>
      <c r="J16" s="4"/>
      <c r="K16" s="11"/>
      <c r="L16" s="12">
        <f>K16*100/(K6+K7)</f>
        <v>0</v>
      </c>
      <c r="M16" s="1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 x14ac:dyDescent="0.5">
      <c r="A17" s="4"/>
      <c r="B17" s="4"/>
      <c r="C17" s="4" t="s">
        <v>15</v>
      </c>
      <c r="D17" s="4"/>
      <c r="E17" s="4"/>
      <c r="F17" s="4"/>
      <c r="G17" s="4"/>
      <c r="H17" s="4"/>
      <c r="I17" s="4"/>
      <c r="J17" s="4"/>
      <c r="K17" s="11"/>
      <c r="L17" s="12">
        <f>K17*100/(K6+K7)</f>
        <v>0</v>
      </c>
      <c r="M17" s="1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5">
      <c r="A18" s="18">
        <v>3.2</v>
      </c>
      <c r="B18" s="18" t="s">
        <v>16</v>
      </c>
      <c r="C18" s="18"/>
      <c r="D18" s="18"/>
      <c r="E18" s="18"/>
      <c r="F18" s="18"/>
      <c r="G18" s="18"/>
      <c r="H18" s="23"/>
      <c r="I18" s="23"/>
      <c r="J18" s="23"/>
      <c r="K18" s="24"/>
      <c r="L18" s="24"/>
      <c r="M18" s="2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 x14ac:dyDescent="0.5">
      <c r="A19" s="4"/>
      <c r="B19" s="4"/>
      <c r="C19" s="45" t="s">
        <v>17</v>
      </c>
      <c r="D19" s="43" t="s">
        <v>18</v>
      </c>
      <c r="E19" s="44"/>
      <c r="F19" s="43" t="s">
        <v>19</v>
      </c>
      <c r="G19" s="44"/>
      <c r="H19" s="43" t="s">
        <v>20</v>
      </c>
      <c r="I19" s="44"/>
      <c r="J19" s="43" t="s">
        <v>21</v>
      </c>
      <c r="K19" s="44"/>
      <c r="L19" s="43" t="s">
        <v>22</v>
      </c>
      <c r="M19" s="4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 x14ac:dyDescent="0.5">
      <c r="A20" s="4"/>
      <c r="B20" s="4"/>
      <c r="C20" s="46"/>
      <c r="D20" s="26" t="s">
        <v>1</v>
      </c>
      <c r="E20" s="26" t="s">
        <v>2</v>
      </c>
      <c r="F20" s="26" t="s">
        <v>1</v>
      </c>
      <c r="G20" s="26" t="s">
        <v>2</v>
      </c>
      <c r="H20" s="26" t="s">
        <v>1</v>
      </c>
      <c r="I20" s="26" t="s">
        <v>2</v>
      </c>
      <c r="J20" s="26" t="s">
        <v>1</v>
      </c>
      <c r="K20" s="26" t="s">
        <v>2</v>
      </c>
      <c r="L20" s="26" t="s">
        <v>1</v>
      </c>
      <c r="M20" s="26" t="s">
        <v>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 x14ac:dyDescent="0.5">
      <c r="A21" s="4"/>
      <c r="B21" s="4"/>
      <c r="C21" s="27" t="s">
        <v>23</v>
      </c>
      <c r="D21" s="26"/>
      <c r="E21" s="28">
        <f>D21*100/(K6+K7)</f>
        <v>0</v>
      </c>
      <c r="F21" s="26"/>
      <c r="G21" s="28">
        <f>F21*100/(K6+K7)</f>
        <v>0</v>
      </c>
      <c r="H21" s="26"/>
      <c r="I21" s="28">
        <f>H21*100/(K6+K7)</f>
        <v>0</v>
      </c>
      <c r="J21" s="26"/>
      <c r="K21" s="28">
        <f>J21*100/(K6+K7)</f>
        <v>0</v>
      </c>
      <c r="L21" s="26"/>
      <c r="M21" s="28">
        <f>L21*100/(K6+K7)</f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 x14ac:dyDescent="0.5">
      <c r="A22" s="4"/>
      <c r="B22" s="4"/>
      <c r="C22" s="27" t="s">
        <v>24</v>
      </c>
      <c r="D22" s="26"/>
      <c r="E22" s="28">
        <f>D22*100/(K6+K7)</f>
        <v>0</v>
      </c>
      <c r="F22" s="26"/>
      <c r="G22" s="28">
        <f>F22*100/(K6+K7)</f>
        <v>0</v>
      </c>
      <c r="H22" s="26"/>
      <c r="I22" s="28">
        <f>H22*100/(K6+K7)</f>
        <v>0</v>
      </c>
      <c r="J22" s="26"/>
      <c r="K22" s="28">
        <f>J22*100/(K6+K7)</f>
        <v>0</v>
      </c>
      <c r="L22" s="26"/>
      <c r="M22" s="28">
        <f>L22*100/(K6+K7)</f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 x14ac:dyDescent="0.5">
      <c r="A23" s="4"/>
      <c r="B23" s="4"/>
      <c r="C23" s="27" t="s">
        <v>25</v>
      </c>
      <c r="D23" s="26"/>
      <c r="E23" s="28">
        <f>D23*100/(K6+K7)</f>
        <v>0</v>
      </c>
      <c r="F23" s="26"/>
      <c r="G23" s="28">
        <f>F23*100/(K6+K7)</f>
        <v>0</v>
      </c>
      <c r="H23" s="26"/>
      <c r="I23" s="28">
        <f>H23*100/(K6+K7)</f>
        <v>0</v>
      </c>
      <c r="J23" s="26"/>
      <c r="K23" s="28">
        <f>J23*100/(K6+K7)</f>
        <v>0</v>
      </c>
      <c r="L23" s="26"/>
      <c r="M23" s="28">
        <f>L23*100/(K6+K7)</f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 x14ac:dyDescent="0.5">
      <c r="A24" s="4"/>
      <c r="B24" s="4"/>
      <c r="C24" s="27" t="s">
        <v>26</v>
      </c>
      <c r="D24" s="26"/>
      <c r="E24" s="28">
        <f>D24*100/(K6+K7)</f>
        <v>0</v>
      </c>
      <c r="F24" s="26"/>
      <c r="G24" s="28">
        <f>F24*100/(K6+K7)</f>
        <v>0</v>
      </c>
      <c r="H24" s="26"/>
      <c r="I24" s="28">
        <f>H24*100/(K6+K7)</f>
        <v>0</v>
      </c>
      <c r="J24" s="26"/>
      <c r="K24" s="28">
        <f>J24*100/(K6+K7)</f>
        <v>0</v>
      </c>
      <c r="L24" s="26"/>
      <c r="M24" s="28">
        <f>L24*100/(K6+K7)</f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 x14ac:dyDescent="0.5">
      <c r="A25" s="4"/>
      <c r="B25" s="4"/>
      <c r="C25" s="27" t="s">
        <v>27</v>
      </c>
      <c r="D25" s="26"/>
      <c r="E25" s="28">
        <f>D25*100/(K6+K7)</f>
        <v>0</v>
      </c>
      <c r="F25" s="26"/>
      <c r="G25" s="28">
        <f>F25*100/(K6+K7)</f>
        <v>0</v>
      </c>
      <c r="H25" s="26"/>
      <c r="I25" s="28">
        <f>H25*100/(K6+K7)</f>
        <v>0</v>
      </c>
      <c r="J25" s="26"/>
      <c r="K25" s="28">
        <f>J25*100/(K6+K7)</f>
        <v>0</v>
      </c>
      <c r="L25" s="26"/>
      <c r="M25" s="28">
        <f>L25*100/(K6+K7)</f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 x14ac:dyDescent="0.5">
      <c r="A26" s="4"/>
      <c r="B26" s="4"/>
      <c r="C26" s="27" t="s">
        <v>28</v>
      </c>
      <c r="D26" s="26"/>
      <c r="E26" s="28">
        <f>D26*100/(K6+K7)</f>
        <v>0</v>
      </c>
      <c r="F26" s="26"/>
      <c r="G26" s="28">
        <f>F26*100/(K6+K7)</f>
        <v>0</v>
      </c>
      <c r="H26" s="26"/>
      <c r="I26" s="28">
        <f>H26*100/(K6+K7)</f>
        <v>0</v>
      </c>
      <c r="J26" s="26"/>
      <c r="K26" s="28">
        <f>J26*100/(K6+K7)</f>
        <v>0</v>
      </c>
      <c r="L26" s="26"/>
      <c r="M26" s="28">
        <f>L26*100/(K6+K7)</f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 x14ac:dyDescent="0.5">
      <c r="A27" s="4"/>
      <c r="B27" s="4"/>
      <c r="C27" s="27" t="s">
        <v>29</v>
      </c>
      <c r="D27" s="26"/>
      <c r="E27" s="28">
        <f>D27*100/(K6+K7)</f>
        <v>0</v>
      </c>
      <c r="F27" s="26"/>
      <c r="G27" s="28">
        <f t="shared" ref="G27" si="0">F27*100/39</f>
        <v>0</v>
      </c>
      <c r="H27" s="26"/>
      <c r="I27" s="28">
        <f>H27*100/(K6+K7)</f>
        <v>0</v>
      </c>
      <c r="J27" s="26"/>
      <c r="K27" s="35">
        <f>J27*100/(K6+K7)</f>
        <v>0</v>
      </c>
      <c r="L27" s="25"/>
      <c r="M27" s="35">
        <f>L27*100/(K6+K7)</f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5">
      <c r="A28" s="18">
        <v>3.3</v>
      </c>
      <c r="B28" s="18" t="s">
        <v>30</v>
      </c>
      <c r="C28" s="18"/>
      <c r="D28" s="18"/>
      <c r="E28" s="18"/>
      <c r="F28" s="18"/>
      <c r="G28" s="18"/>
      <c r="H28" s="18"/>
      <c r="I28" s="18"/>
      <c r="J28" s="18"/>
      <c r="K28" s="39" t="s">
        <v>1</v>
      </c>
      <c r="L28" s="39" t="s">
        <v>2</v>
      </c>
      <c r="M28" s="40" t="s">
        <v>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5">
      <c r="A29" s="4"/>
      <c r="B29" s="4"/>
      <c r="C29" s="4" t="s">
        <v>28</v>
      </c>
      <c r="D29" s="4"/>
      <c r="E29" s="4"/>
      <c r="F29" s="4"/>
      <c r="G29" s="4"/>
      <c r="H29" s="4"/>
      <c r="I29" s="4"/>
      <c r="J29" s="4"/>
      <c r="K29" s="36"/>
      <c r="L29" s="37">
        <f>K29*100/(K6+K7)</f>
        <v>0</v>
      </c>
      <c r="M29" s="3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5">
      <c r="A30" s="4"/>
      <c r="B30" s="4"/>
      <c r="C30" s="4" t="s">
        <v>31</v>
      </c>
      <c r="D30" s="4"/>
      <c r="E30" s="4"/>
      <c r="F30" s="4"/>
      <c r="G30" s="4"/>
      <c r="H30" s="4"/>
      <c r="I30" s="4"/>
      <c r="J30" s="4"/>
      <c r="K30" s="11"/>
      <c r="L30" s="12">
        <f>K30*100/(K6+K7)</f>
        <v>0</v>
      </c>
      <c r="M30" s="1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5">
      <c r="A31" s="4"/>
      <c r="B31" s="4"/>
      <c r="C31" s="4" t="s">
        <v>32</v>
      </c>
      <c r="D31" s="4"/>
      <c r="E31" s="4"/>
      <c r="F31" s="4"/>
      <c r="G31" s="4"/>
      <c r="H31" s="4"/>
      <c r="I31" s="4"/>
      <c r="J31" s="4"/>
      <c r="K31" s="11"/>
      <c r="L31" s="12">
        <f>K31*100/(K6+K7)</f>
        <v>0</v>
      </c>
      <c r="M31" s="1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5">
      <c r="A32" s="4"/>
      <c r="B32" s="4"/>
      <c r="C32" s="4" t="s">
        <v>33</v>
      </c>
      <c r="D32" s="4"/>
      <c r="E32" s="4"/>
      <c r="F32" s="4"/>
      <c r="G32" s="4"/>
      <c r="H32" s="4"/>
      <c r="I32" s="4"/>
      <c r="J32" s="4"/>
      <c r="K32" s="11"/>
      <c r="L32" s="12">
        <f>K32*100/(K6+K7)</f>
        <v>0</v>
      </c>
      <c r="M32" s="1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29"/>
      <c r="L33" s="29"/>
      <c r="M33" s="3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29"/>
      <c r="L34" s="29"/>
      <c r="M34" s="3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5">
      <c r="A35" s="4"/>
      <c r="B35" s="4"/>
      <c r="C35" s="4"/>
      <c r="D35" s="4"/>
      <c r="E35" s="4"/>
      <c r="F35" s="4"/>
      <c r="G35" s="4"/>
      <c r="H35" s="4"/>
      <c r="I35" s="4"/>
      <c r="J35" s="4"/>
      <c r="K35" s="29"/>
      <c r="L35" s="29"/>
      <c r="M35" s="3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29"/>
      <c r="L36" s="29"/>
      <c r="M36" s="3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29"/>
      <c r="L37" s="29"/>
      <c r="M37" s="3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5">
      <c r="A38" s="18">
        <v>3.4</v>
      </c>
      <c r="B38" s="18" t="s">
        <v>34</v>
      </c>
      <c r="C38" s="18"/>
      <c r="D38" s="18"/>
      <c r="E38" s="18"/>
      <c r="F38" s="18"/>
      <c r="G38" s="18"/>
      <c r="H38" s="18"/>
      <c r="I38" s="18"/>
      <c r="J38" s="18"/>
      <c r="K38" s="24" t="s">
        <v>1</v>
      </c>
      <c r="L38" s="24" t="s">
        <v>2</v>
      </c>
      <c r="M38" s="23" t="s">
        <v>3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5">
      <c r="A39" s="4"/>
      <c r="B39" s="4"/>
      <c r="C39" s="4" t="s">
        <v>35</v>
      </c>
      <c r="D39" s="4"/>
      <c r="E39" s="4"/>
      <c r="F39" s="4"/>
      <c r="G39" s="4"/>
      <c r="H39" s="4"/>
      <c r="I39" s="4"/>
      <c r="J39" s="4"/>
      <c r="K39" s="11"/>
      <c r="L39" s="12">
        <f>K39*100/(K6+K7)</f>
        <v>0</v>
      </c>
      <c r="M39" s="1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5">
      <c r="A40" s="4"/>
      <c r="B40" s="4"/>
      <c r="C40" s="4" t="s">
        <v>36</v>
      </c>
      <c r="D40" s="4"/>
      <c r="E40" s="4"/>
      <c r="F40" s="4"/>
      <c r="G40" s="4"/>
      <c r="H40" s="4"/>
      <c r="I40" s="4"/>
      <c r="J40" s="4"/>
      <c r="K40" s="11"/>
      <c r="L40" s="12">
        <f>K40*100/(K6+K7)</f>
        <v>0</v>
      </c>
      <c r="M40" s="1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5">
      <c r="A41" s="4"/>
      <c r="B41" s="4"/>
      <c r="C41" s="4" t="s">
        <v>37</v>
      </c>
      <c r="D41" s="4"/>
      <c r="E41" s="4"/>
      <c r="F41" s="4"/>
      <c r="G41" s="4"/>
      <c r="H41" s="4"/>
      <c r="I41" s="4"/>
      <c r="J41" s="4"/>
      <c r="K41" s="11"/>
      <c r="L41" s="12">
        <f>K41*100/(K6+K7)</f>
        <v>0</v>
      </c>
      <c r="M41" s="1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5">
      <c r="A42" s="4"/>
      <c r="B42" s="4"/>
      <c r="C42" s="4" t="s">
        <v>38</v>
      </c>
      <c r="D42" s="4"/>
      <c r="E42" s="4"/>
      <c r="F42" s="4"/>
      <c r="G42" s="4"/>
      <c r="H42" s="4"/>
      <c r="I42" s="4"/>
      <c r="J42" s="4"/>
      <c r="K42" s="11"/>
      <c r="L42" s="12">
        <f>K42*100/(K6+K7)</f>
        <v>0</v>
      </c>
      <c r="M42" s="1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5">
      <c r="A43" s="4"/>
      <c r="B43" s="4"/>
      <c r="C43" s="4" t="s">
        <v>39</v>
      </c>
      <c r="D43" s="4"/>
      <c r="E43" s="4"/>
      <c r="F43" s="4"/>
      <c r="G43" s="4"/>
      <c r="H43" s="4"/>
      <c r="I43" s="4"/>
      <c r="J43" s="4"/>
      <c r="K43" s="11"/>
      <c r="L43" s="12">
        <f>K43*100/(K6+K7)</f>
        <v>0</v>
      </c>
      <c r="M43" s="1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5">
      <c r="A44" s="4"/>
      <c r="B44" s="4"/>
      <c r="C44" s="4" t="s">
        <v>40</v>
      </c>
      <c r="D44" s="4"/>
      <c r="E44" s="4"/>
      <c r="F44" s="4"/>
      <c r="G44" s="4"/>
      <c r="H44" s="4"/>
      <c r="I44" s="4"/>
      <c r="J44" s="4"/>
      <c r="K44" s="11"/>
      <c r="L44" s="12">
        <f>K44*100/(K6+K7)</f>
        <v>0</v>
      </c>
      <c r="M44" s="1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5">
      <c r="A45" s="18">
        <v>3.5</v>
      </c>
      <c r="B45" s="18" t="s">
        <v>41</v>
      </c>
      <c r="C45" s="18"/>
      <c r="D45" s="18"/>
      <c r="E45" s="18"/>
      <c r="F45" s="18"/>
      <c r="G45" s="23"/>
      <c r="H45" s="23"/>
      <c r="I45" s="23"/>
      <c r="J45" s="23"/>
      <c r="K45" s="24" t="s">
        <v>1</v>
      </c>
      <c r="L45" s="24" t="s">
        <v>2</v>
      </c>
      <c r="M45" s="23" t="s">
        <v>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5">
      <c r="A46" s="4"/>
      <c r="B46" s="4"/>
      <c r="C46" s="4" t="s">
        <v>42</v>
      </c>
      <c r="D46" s="4"/>
      <c r="E46" s="4"/>
      <c r="F46" s="4"/>
      <c r="G46" s="4"/>
      <c r="H46" s="4"/>
      <c r="I46" s="4"/>
      <c r="J46" s="4"/>
      <c r="K46" s="11"/>
      <c r="L46" s="12">
        <f>K46*100/(K6+K7)</f>
        <v>0</v>
      </c>
      <c r="M46" s="1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5">
      <c r="A47" s="4"/>
      <c r="B47" s="4"/>
      <c r="C47" s="4" t="s">
        <v>43</v>
      </c>
      <c r="D47" s="4"/>
      <c r="E47" s="4"/>
      <c r="F47" s="4"/>
      <c r="G47" s="4"/>
      <c r="H47" s="4"/>
      <c r="I47" s="4"/>
      <c r="J47" s="4"/>
      <c r="K47" s="11"/>
      <c r="L47" s="12">
        <f>K47*100/(K6+K7)</f>
        <v>0</v>
      </c>
      <c r="M47" s="1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5">
      <c r="A48" s="4"/>
      <c r="B48" s="4"/>
      <c r="C48" s="4" t="s">
        <v>44</v>
      </c>
      <c r="D48" s="4"/>
      <c r="E48" s="4"/>
      <c r="F48" s="4"/>
      <c r="G48" s="4"/>
      <c r="H48" s="4"/>
      <c r="I48" s="4"/>
      <c r="J48" s="4"/>
      <c r="K48" s="11"/>
      <c r="L48" s="12">
        <f>K48*100/(K6+K7)</f>
        <v>0</v>
      </c>
      <c r="M48" s="1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5">
      <c r="A49" s="4"/>
      <c r="B49" s="4"/>
      <c r="C49" s="4" t="s">
        <v>33</v>
      </c>
      <c r="D49" s="4"/>
      <c r="E49" s="4"/>
      <c r="F49" s="4"/>
      <c r="G49" s="4"/>
      <c r="H49" s="4"/>
      <c r="I49" s="4"/>
      <c r="J49" s="4"/>
      <c r="K49" s="11"/>
      <c r="L49" s="12">
        <f>K49*100/(K6+K7)</f>
        <v>0</v>
      </c>
      <c r="M49" s="1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5">
      <c r="A50" s="18">
        <v>3.6</v>
      </c>
      <c r="B50" s="18" t="s">
        <v>45</v>
      </c>
      <c r="C50" s="18"/>
      <c r="D50" s="18"/>
      <c r="E50" s="23"/>
      <c r="F50" s="23"/>
      <c r="G50" s="23"/>
      <c r="H50" s="23"/>
      <c r="I50" s="23"/>
      <c r="J50" s="23"/>
      <c r="K50" s="24" t="s">
        <v>1</v>
      </c>
      <c r="L50" s="24" t="s">
        <v>2</v>
      </c>
      <c r="M50" s="23" t="s">
        <v>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5">
      <c r="A51" s="4"/>
      <c r="B51" s="4"/>
      <c r="C51" s="4" t="s">
        <v>46</v>
      </c>
      <c r="D51" s="4"/>
      <c r="E51" s="4"/>
      <c r="F51" s="4"/>
      <c r="G51" s="4"/>
      <c r="H51" s="4"/>
      <c r="I51" s="4"/>
      <c r="J51" s="4"/>
      <c r="K51" s="11"/>
      <c r="L51" s="12">
        <f>K51*100/(K6+K7)</f>
        <v>0</v>
      </c>
      <c r="M51" s="1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5">
      <c r="A52" s="4"/>
      <c r="B52" s="4"/>
      <c r="C52" s="4" t="s">
        <v>47</v>
      </c>
      <c r="D52" s="4"/>
      <c r="E52" s="4"/>
      <c r="F52" s="4"/>
      <c r="G52" s="4"/>
      <c r="H52" s="4"/>
      <c r="I52" s="4"/>
      <c r="J52" s="4"/>
      <c r="K52" s="11"/>
      <c r="L52" s="12">
        <f>K52*100/(K6+K7)</f>
        <v>0</v>
      </c>
      <c r="M52" s="1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5">
      <c r="A53" s="4"/>
      <c r="B53" s="4"/>
      <c r="C53" s="4" t="s">
        <v>33</v>
      </c>
      <c r="D53" s="4"/>
      <c r="E53" s="4"/>
      <c r="F53" s="4"/>
      <c r="G53" s="4"/>
      <c r="H53" s="4"/>
      <c r="I53" s="4"/>
      <c r="J53" s="4"/>
      <c r="K53" s="11"/>
      <c r="L53" s="12">
        <f>K53*100/(K6+K7)</f>
        <v>0</v>
      </c>
      <c r="M53" s="1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5">
      <c r="A54" s="7" t="s">
        <v>48</v>
      </c>
      <c r="B54" s="7"/>
      <c r="C54" s="7"/>
      <c r="D54" s="15"/>
      <c r="E54" s="15"/>
      <c r="F54" s="15"/>
      <c r="G54" s="15"/>
      <c r="H54" s="15"/>
      <c r="I54" s="15"/>
      <c r="J54" s="15"/>
      <c r="K54" s="16"/>
      <c r="L54" s="16"/>
      <c r="M54" s="1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5">
      <c r="A55" s="18">
        <v>4.0999999999999996</v>
      </c>
      <c r="B55" s="18" t="s">
        <v>49</v>
      </c>
      <c r="C55" s="18"/>
      <c r="D55" s="23"/>
      <c r="E55" s="23"/>
      <c r="F55" s="23"/>
      <c r="G55" s="23"/>
      <c r="H55" s="23"/>
      <c r="I55" s="23"/>
      <c r="J55" s="23"/>
      <c r="K55" s="24" t="s">
        <v>1</v>
      </c>
      <c r="L55" s="24" t="s">
        <v>2</v>
      </c>
      <c r="M55" s="23" t="s">
        <v>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5">
      <c r="A56" s="4"/>
      <c r="B56" s="4" t="s">
        <v>50</v>
      </c>
      <c r="C56" s="4"/>
      <c r="D56" s="4"/>
      <c r="E56" s="4"/>
      <c r="F56" s="4"/>
      <c r="G56" s="4"/>
      <c r="H56" s="4"/>
      <c r="I56" s="4"/>
      <c r="J56" s="4"/>
      <c r="K56" s="11"/>
      <c r="L56" s="12">
        <f>K56*100/(K6+K7)</f>
        <v>0</v>
      </c>
      <c r="M56" s="1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5">
      <c r="A57" s="4"/>
      <c r="B57" s="4" t="s">
        <v>51</v>
      </c>
      <c r="C57" s="4"/>
      <c r="D57" s="4"/>
      <c r="E57" s="4"/>
      <c r="F57" s="4"/>
      <c r="G57" s="4"/>
      <c r="H57" s="4"/>
      <c r="I57" s="4"/>
      <c r="J57" s="4"/>
      <c r="K57" s="11"/>
      <c r="L57" s="12">
        <f>K57*100/(K6+K7)</f>
        <v>0</v>
      </c>
      <c r="M57" s="1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5">
      <c r="A58" s="4"/>
      <c r="B58" s="4" t="s">
        <v>52</v>
      </c>
      <c r="C58" s="4"/>
      <c r="D58" s="4"/>
      <c r="E58" s="4"/>
      <c r="F58" s="4"/>
      <c r="G58" s="4"/>
      <c r="H58" s="4"/>
      <c r="I58" s="4"/>
      <c r="J58" s="4"/>
      <c r="K58" s="11"/>
      <c r="L58" s="12">
        <f>K58*100/(K6+K7)</f>
        <v>0</v>
      </c>
      <c r="M58" s="1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5">
      <c r="A59" s="4"/>
      <c r="B59" s="4" t="s">
        <v>53</v>
      </c>
      <c r="C59" s="4"/>
      <c r="D59" s="4"/>
      <c r="E59" s="4"/>
      <c r="F59" s="4"/>
      <c r="G59" s="4"/>
      <c r="H59" s="4"/>
      <c r="I59" s="4"/>
      <c r="J59" s="4"/>
      <c r="K59" s="11"/>
      <c r="L59" s="12">
        <f>K59*100/(K6+K7)</f>
        <v>0</v>
      </c>
      <c r="M59" s="1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5">
      <c r="A60" s="4"/>
      <c r="B60" s="4" t="s">
        <v>54</v>
      </c>
      <c r="C60" s="4"/>
      <c r="D60" s="4"/>
      <c r="E60" s="4"/>
      <c r="F60" s="4"/>
      <c r="G60" s="4"/>
      <c r="H60" s="4"/>
      <c r="I60" s="4"/>
      <c r="J60" s="4"/>
      <c r="K60" s="11"/>
      <c r="L60" s="12">
        <f>K60*100/(K6+K7)</f>
        <v>0</v>
      </c>
      <c r="M60" s="1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5">
      <c r="A61" s="18">
        <v>4.2</v>
      </c>
      <c r="B61" s="18" t="s">
        <v>55</v>
      </c>
      <c r="C61" s="18"/>
      <c r="D61" s="18"/>
      <c r="E61" s="23"/>
      <c r="F61" s="23"/>
      <c r="G61" s="23"/>
      <c r="H61" s="23"/>
      <c r="I61" s="23"/>
      <c r="J61" s="23"/>
      <c r="K61" s="24" t="s">
        <v>1</v>
      </c>
      <c r="L61" s="24" t="s">
        <v>2</v>
      </c>
      <c r="M61" s="23" t="s">
        <v>3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5">
      <c r="A62" s="4"/>
      <c r="B62" s="4" t="s">
        <v>131</v>
      </c>
      <c r="C62" s="4"/>
      <c r="D62" s="4"/>
      <c r="E62" s="4"/>
      <c r="F62" s="4"/>
      <c r="G62" s="4"/>
      <c r="H62" s="4"/>
      <c r="I62" s="4"/>
      <c r="J62" s="4"/>
      <c r="K62" s="11"/>
      <c r="L62" s="12">
        <f>K62*100/(K6+K7)</f>
        <v>0</v>
      </c>
      <c r="M62" s="1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5">
      <c r="A63" s="4"/>
      <c r="B63" s="4" t="s">
        <v>56</v>
      </c>
      <c r="C63" s="4"/>
      <c r="D63" s="4"/>
      <c r="E63" s="4"/>
      <c r="F63" s="4"/>
      <c r="G63" s="4"/>
      <c r="H63" s="4"/>
      <c r="I63" s="4"/>
      <c r="J63" s="4"/>
      <c r="K63" s="11"/>
      <c r="L63" s="12">
        <f>K63*100/(K6+K7)</f>
        <v>0</v>
      </c>
      <c r="M63" s="1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5">
      <c r="A64" s="4"/>
      <c r="B64" s="4" t="s">
        <v>57</v>
      </c>
      <c r="C64" s="4"/>
      <c r="D64" s="4"/>
      <c r="E64" s="4"/>
      <c r="F64" s="4"/>
      <c r="G64" s="4"/>
      <c r="H64" s="4"/>
      <c r="I64" s="4"/>
      <c r="J64" s="4"/>
      <c r="K64" s="11"/>
      <c r="L64" s="12">
        <f>K64*100/(K6+K7)</f>
        <v>0</v>
      </c>
      <c r="M64" s="1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5">
      <c r="A65" s="4"/>
      <c r="B65" s="4" t="s">
        <v>58</v>
      </c>
      <c r="C65" s="4"/>
      <c r="D65" s="4"/>
      <c r="E65" s="4"/>
      <c r="F65" s="4"/>
      <c r="G65" s="4"/>
      <c r="H65" s="4"/>
      <c r="I65" s="4"/>
      <c r="J65" s="4"/>
      <c r="K65" s="11"/>
      <c r="L65" s="12">
        <f>K65*100/(K6+K7)</f>
        <v>0</v>
      </c>
      <c r="M65" s="1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5">
      <c r="A66" s="4"/>
      <c r="B66" s="4" t="s">
        <v>59</v>
      </c>
      <c r="C66" s="4"/>
      <c r="D66" s="4"/>
      <c r="E66" s="4"/>
      <c r="F66" s="4"/>
      <c r="G66" s="4"/>
      <c r="H66" s="4"/>
      <c r="I66" s="4"/>
      <c r="J66" s="4"/>
      <c r="K66" s="11"/>
      <c r="L66" s="12">
        <f>K66*100/(K6+K7)</f>
        <v>0</v>
      </c>
      <c r="M66" s="1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5">
      <c r="A67" s="4"/>
      <c r="B67" s="4" t="s">
        <v>60</v>
      </c>
      <c r="C67" s="4"/>
      <c r="D67" s="4"/>
      <c r="E67" s="4"/>
      <c r="F67" s="4"/>
      <c r="G67" s="4"/>
      <c r="H67" s="4"/>
      <c r="I67" s="4"/>
      <c r="J67" s="4"/>
      <c r="K67" s="11"/>
      <c r="L67" s="12">
        <f>K67*100/(K6+K7)</f>
        <v>0</v>
      </c>
      <c r="M67" s="1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5">
      <c r="A68" s="4"/>
      <c r="B68" s="4" t="s">
        <v>61</v>
      </c>
      <c r="C68" s="4"/>
      <c r="D68" s="4"/>
      <c r="E68" s="4"/>
      <c r="F68" s="4"/>
      <c r="G68" s="4"/>
      <c r="H68" s="4"/>
      <c r="I68" s="4"/>
      <c r="J68" s="4"/>
      <c r="K68" s="11"/>
      <c r="L68" s="12">
        <f>K68*100/(K6+K7)</f>
        <v>0</v>
      </c>
      <c r="M68" s="1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5">
      <c r="A69" s="4"/>
      <c r="B69" s="4" t="s">
        <v>62</v>
      </c>
      <c r="C69" s="4"/>
      <c r="D69" s="4"/>
      <c r="E69" s="4"/>
      <c r="F69" s="4"/>
      <c r="G69" s="4"/>
      <c r="H69" s="4"/>
      <c r="I69" s="4"/>
      <c r="J69" s="4"/>
      <c r="K69" s="11"/>
      <c r="L69" s="12">
        <f>K69*100/(K6+K7)</f>
        <v>0</v>
      </c>
      <c r="M69" s="1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5">
      <c r="A70" s="4"/>
      <c r="B70" s="4" t="s">
        <v>63</v>
      </c>
      <c r="C70" s="4"/>
      <c r="D70" s="4"/>
      <c r="E70" s="4"/>
      <c r="F70" s="4"/>
      <c r="G70" s="4"/>
      <c r="H70" s="4"/>
      <c r="I70" s="4"/>
      <c r="J70" s="4"/>
      <c r="K70" s="11"/>
      <c r="L70" s="12">
        <f>K70*100/(K6+K7)</f>
        <v>0</v>
      </c>
      <c r="M70" s="1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5">
      <c r="A71" s="4"/>
      <c r="B71" s="4" t="s">
        <v>64</v>
      </c>
      <c r="C71" s="4"/>
      <c r="D71" s="4"/>
      <c r="E71" s="4"/>
      <c r="F71" s="4"/>
      <c r="G71" s="4"/>
      <c r="H71" s="4"/>
      <c r="I71" s="4"/>
      <c r="J71" s="4"/>
      <c r="K71" s="11"/>
      <c r="L71" s="12">
        <f>K71*100/(K6+K7)</f>
        <v>0</v>
      </c>
      <c r="M71" s="1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5">
      <c r="A72" s="4"/>
      <c r="B72" s="4" t="s">
        <v>65</v>
      </c>
      <c r="C72" s="4"/>
      <c r="D72" s="4"/>
      <c r="E72" s="4"/>
      <c r="F72" s="4"/>
      <c r="G72" s="4"/>
      <c r="H72" s="4"/>
      <c r="I72" s="4"/>
      <c r="J72" s="4"/>
      <c r="K72" s="11"/>
      <c r="L72" s="12">
        <f>K72*100/(K6+K7)</f>
        <v>0</v>
      </c>
      <c r="M72" s="1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29"/>
      <c r="L73" s="41"/>
      <c r="M73" s="3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5">
      <c r="A74" s="18">
        <v>4.3</v>
      </c>
      <c r="B74" s="18" t="s">
        <v>66</v>
      </c>
      <c r="C74" s="18"/>
      <c r="D74" s="18"/>
      <c r="E74" s="18"/>
      <c r="F74" s="23"/>
      <c r="G74" s="23"/>
      <c r="H74" s="23"/>
      <c r="I74" s="23"/>
      <c r="J74" s="23"/>
      <c r="K74" s="24" t="s">
        <v>1</v>
      </c>
      <c r="L74" s="24" t="s">
        <v>2</v>
      </c>
      <c r="M74" s="23" t="s">
        <v>3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5">
      <c r="A75" s="4"/>
      <c r="B75" s="4" t="s">
        <v>67</v>
      </c>
      <c r="C75" s="4"/>
      <c r="D75" s="4"/>
      <c r="E75" s="4"/>
      <c r="F75" s="4"/>
      <c r="G75" s="4"/>
      <c r="H75" s="4"/>
      <c r="I75" s="4"/>
      <c r="J75" s="4"/>
      <c r="K75" s="11"/>
      <c r="L75" s="12">
        <f>K75*100/(K6+K7)</f>
        <v>0</v>
      </c>
      <c r="M75" s="1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5">
      <c r="A76" s="4"/>
      <c r="B76" s="4" t="s">
        <v>68</v>
      </c>
      <c r="C76" s="4"/>
      <c r="D76" s="4"/>
      <c r="E76" s="4"/>
      <c r="F76" s="4"/>
      <c r="G76" s="4"/>
      <c r="H76" s="4"/>
      <c r="I76" s="4"/>
      <c r="J76" s="4"/>
      <c r="K76" s="11"/>
      <c r="L76" s="12">
        <f>K76*100/(K6+K7)</f>
        <v>0</v>
      </c>
      <c r="M76" s="1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5">
      <c r="A77" s="4"/>
      <c r="B77" s="4" t="s">
        <v>69</v>
      </c>
      <c r="C77" s="4"/>
      <c r="D77" s="4"/>
      <c r="E77" s="4"/>
      <c r="F77" s="4"/>
      <c r="G77" s="4"/>
      <c r="H77" s="4"/>
      <c r="I77" s="4"/>
      <c r="J77" s="4"/>
      <c r="K77" s="11"/>
      <c r="L77" s="12">
        <f>K77*100/(K6+K7)</f>
        <v>0</v>
      </c>
      <c r="M77" s="1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5">
      <c r="A78" s="4"/>
      <c r="B78" s="4" t="s">
        <v>70</v>
      </c>
      <c r="C78" s="4"/>
      <c r="D78" s="4"/>
      <c r="E78" s="4"/>
      <c r="F78" s="4"/>
      <c r="G78" s="4"/>
      <c r="H78" s="4"/>
      <c r="I78" s="4"/>
      <c r="J78" s="4"/>
      <c r="K78" s="11"/>
      <c r="L78" s="12">
        <f>K78*100/(K6+K7)</f>
        <v>0</v>
      </c>
      <c r="M78" s="1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5">
      <c r="A79" s="4"/>
      <c r="B79" s="4" t="s">
        <v>71</v>
      </c>
      <c r="C79" s="4"/>
      <c r="D79" s="4"/>
      <c r="E79" s="4"/>
      <c r="F79" s="4"/>
      <c r="G79" s="4"/>
      <c r="H79" s="4"/>
      <c r="I79" s="4"/>
      <c r="J79" s="4"/>
      <c r="K79" s="11"/>
      <c r="L79" s="12">
        <f>K79*100/(K6+K7)</f>
        <v>0</v>
      </c>
      <c r="M79" s="1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5">
      <c r="A80" s="4"/>
      <c r="B80" s="4" t="s">
        <v>72</v>
      </c>
      <c r="C80" s="4"/>
      <c r="D80" s="4"/>
      <c r="E80" s="4"/>
      <c r="F80" s="4"/>
      <c r="G80" s="4"/>
      <c r="H80" s="4"/>
      <c r="I80" s="4"/>
      <c r="J80" s="4"/>
      <c r="K80" s="11"/>
      <c r="L80" s="12">
        <f>K80*100/(K6+K7)</f>
        <v>0</v>
      </c>
      <c r="M80" s="1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5">
      <c r="A81" s="4"/>
      <c r="B81" s="4" t="s">
        <v>73</v>
      </c>
      <c r="C81" s="4"/>
      <c r="D81" s="4"/>
      <c r="E81" s="4"/>
      <c r="F81" s="4"/>
      <c r="G81" s="4"/>
      <c r="H81" s="4"/>
      <c r="I81" s="4"/>
      <c r="J81" s="4"/>
      <c r="K81" s="11"/>
      <c r="L81" s="12">
        <f>K81*100/(K6+K7)</f>
        <v>0</v>
      </c>
      <c r="M81" s="1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5">
      <c r="A82" s="4"/>
      <c r="B82" s="4" t="s">
        <v>74</v>
      </c>
      <c r="C82" s="4"/>
      <c r="D82" s="4"/>
      <c r="E82" s="4"/>
      <c r="F82" s="4"/>
      <c r="G82" s="4"/>
      <c r="H82" s="4"/>
      <c r="I82" s="4"/>
      <c r="J82" s="4"/>
      <c r="K82" s="11"/>
      <c r="L82" s="12">
        <f>K82*100/(K6+K7)</f>
        <v>0</v>
      </c>
      <c r="M82" s="1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5">
      <c r="A83" s="18">
        <v>4.4000000000000004</v>
      </c>
      <c r="B83" s="18" t="s">
        <v>75</v>
      </c>
      <c r="C83" s="18"/>
      <c r="D83" s="23"/>
      <c r="E83" s="23"/>
      <c r="F83" s="23"/>
      <c r="G83" s="23"/>
      <c r="H83" s="23"/>
      <c r="I83" s="23"/>
      <c r="J83" s="23"/>
      <c r="K83" s="24" t="s">
        <v>1</v>
      </c>
      <c r="L83" s="24" t="s">
        <v>2</v>
      </c>
      <c r="M83" s="23" t="s">
        <v>3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5">
      <c r="A84" s="4"/>
      <c r="B84" s="31" t="s">
        <v>76</v>
      </c>
      <c r="C84" s="4"/>
      <c r="D84" s="4"/>
      <c r="E84" s="4"/>
      <c r="F84" s="4"/>
      <c r="G84" s="4"/>
      <c r="H84" s="4"/>
      <c r="I84" s="4"/>
      <c r="J84" s="4"/>
      <c r="K84" s="11"/>
      <c r="L84" s="12">
        <f>K84*100/(K6+K7)</f>
        <v>0</v>
      </c>
      <c r="M84" s="1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5">
      <c r="A85" s="4"/>
      <c r="B85" s="4" t="s">
        <v>77</v>
      </c>
      <c r="C85" s="4"/>
      <c r="D85" s="4"/>
      <c r="E85" s="4"/>
      <c r="F85" s="4"/>
      <c r="G85" s="4"/>
      <c r="H85" s="4"/>
      <c r="I85" s="4"/>
      <c r="J85" s="4"/>
      <c r="K85" s="11"/>
      <c r="L85" s="12">
        <f>K85*100/(K6+K7)</f>
        <v>0</v>
      </c>
      <c r="M85" s="1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5">
      <c r="A86" s="18">
        <v>4.5</v>
      </c>
      <c r="B86" s="18" t="s">
        <v>78</v>
      </c>
      <c r="C86" s="18"/>
      <c r="D86" s="18"/>
      <c r="E86" s="18"/>
      <c r="F86" s="18"/>
      <c r="G86" s="18"/>
      <c r="H86" s="23"/>
      <c r="I86" s="23"/>
      <c r="J86" s="23"/>
      <c r="K86" s="24" t="s">
        <v>1</v>
      </c>
      <c r="L86" s="24" t="s">
        <v>2</v>
      </c>
      <c r="M86" s="23" t="s">
        <v>3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5">
      <c r="A87" s="4"/>
      <c r="B87" s="4" t="s">
        <v>79</v>
      </c>
      <c r="C87" s="4"/>
      <c r="D87" s="4"/>
      <c r="E87" s="4"/>
      <c r="F87" s="4"/>
      <c r="G87" s="4"/>
      <c r="H87" s="4"/>
      <c r="I87" s="4"/>
      <c r="J87" s="4"/>
      <c r="K87" s="11"/>
      <c r="L87" s="12">
        <f>K87*100/(K6+K7)</f>
        <v>0</v>
      </c>
      <c r="M87" s="1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5">
      <c r="A88" s="4"/>
      <c r="B88" s="4" t="s">
        <v>80</v>
      </c>
      <c r="C88" s="4"/>
      <c r="D88" s="4"/>
      <c r="E88" s="4"/>
      <c r="F88" s="4"/>
      <c r="G88" s="4"/>
      <c r="H88" s="4"/>
      <c r="I88" s="4"/>
      <c r="J88" s="4"/>
      <c r="K88" s="11"/>
      <c r="L88" s="12">
        <f>K88*100/(K6+K7)</f>
        <v>0</v>
      </c>
      <c r="M88" s="1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5">
      <c r="A89" s="4"/>
      <c r="B89" s="4" t="s">
        <v>81</v>
      </c>
      <c r="C89" s="4"/>
      <c r="D89" s="4"/>
      <c r="E89" s="4"/>
      <c r="F89" s="4"/>
      <c r="G89" s="4"/>
      <c r="H89" s="4"/>
      <c r="I89" s="4"/>
      <c r="J89" s="4"/>
      <c r="K89" s="11"/>
      <c r="L89" s="12">
        <f>K89*100/(K6+K7)</f>
        <v>0</v>
      </c>
      <c r="M89" s="1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5">
      <c r="A90" s="4"/>
      <c r="B90" s="4" t="s">
        <v>82</v>
      </c>
      <c r="C90" s="4"/>
      <c r="D90" s="4"/>
      <c r="E90" s="4"/>
      <c r="F90" s="4"/>
      <c r="G90" s="4"/>
      <c r="H90" s="4"/>
      <c r="I90" s="4"/>
      <c r="J90" s="4"/>
      <c r="K90" s="11"/>
      <c r="L90" s="12">
        <f>K90*100/(K6+K7)</f>
        <v>0</v>
      </c>
      <c r="M90" s="1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5">
      <c r="A91" s="4"/>
      <c r="B91" s="4" t="s">
        <v>83</v>
      </c>
      <c r="C91" s="4"/>
      <c r="D91" s="4"/>
      <c r="E91" s="4"/>
      <c r="F91" s="4"/>
      <c r="G91" s="4"/>
      <c r="H91" s="4"/>
      <c r="I91" s="4"/>
      <c r="J91" s="4"/>
      <c r="K91" s="11"/>
      <c r="L91" s="12">
        <f>K91*100/(K6+K7)</f>
        <v>0</v>
      </c>
      <c r="M91" s="1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5">
      <c r="A92" s="4"/>
      <c r="B92" s="4" t="s">
        <v>33</v>
      </c>
      <c r="C92" s="4"/>
      <c r="D92" s="4"/>
      <c r="E92" s="4"/>
      <c r="F92" s="4"/>
      <c r="G92" s="4"/>
      <c r="H92" s="4"/>
      <c r="I92" s="4"/>
      <c r="J92" s="4"/>
      <c r="K92" s="11"/>
      <c r="L92" s="12">
        <f>K92*100/(K6+K7)</f>
        <v>0</v>
      </c>
      <c r="M92" s="1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5">
      <c r="A93" s="18">
        <v>4.5999999999999996</v>
      </c>
      <c r="B93" s="18" t="s">
        <v>84</v>
      </c>
      <c r="C93" s="18"/>
      <c r="D93" s="18"/>
      <c r="E93" s="18"/>
      <c r="F93" s="23"/>
      <c r="G93" s="23"/>
      <c r="H93" s="23"/>
      <c r="I93" s="23"/>
      <c r="J93" s="23"/>
      <c r="K93" s="24" t="s">
        <v>1</v>
      </c>
      <c r="L93" s="24" t="s">
        <v>2</v>
      </c>
      <c r="M93" s="23" t="s">
        <v>3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5">
      <c r="A94" s="4"/>
      <c r="B94" s="2" t="s">
        <v>85</v>
      </c>
      <c r="C94" s="4"/>
      <c r="D94" s="4"/>
      <c r="E94" s="4"/>
      <c r="F94" s="4"/>
      <c r="G94" s="4"/>
      <c r="H94" s="4"/>
      <c r="I94" s="4"/>
      <c r="J94" s="4"/>
      <c r="K94" s="11"/>
      <c r="L94" s="12">
        <f>K94*100/(K6+K7)</f>
        <v>0</v>
      </c>
      <c r="M94" s="1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5">
      <c r="A95" s="4"/>
      <c r="B95" s="2" t="s">
        <v>86</v>
      </c>
      <c r="C95" s="4"/>
      <c r="D95" s="4"/>
      <c r="E95" s="4"/>
      <c r="F95" s="4"/>
      <c r="G95" s="4"/>
      <c r="H95" s="4"/>
      <c r="I95" s="4"/>
      <c r="J95" s="4"/>
      <c r="K95" s="11"/>
      <c r="L95" s="12">
        <f>K95*100/(K6+K7)</f>
        <v>0</v>
      </c>
      <c r="M95" s="1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5">
      <c r="A96" s="4"/>
      <c r="B96" s="2" t="s">
        <v>87</v>
      </c>
      <c r="C96" s="4"/>
      <c r="D96" s="4"/>
      <c r="E96" s="4"/>
      <c r="F96" s="4"/>
      <c r="G96" s="4"/>
      <c r="H96" s="4"/>
      <c r="I96" s="4"/>
      <c r="J96" s="4"/>
      <c r="K96" s="11"/>
      <c r="L96" s="12">
        <f>K96*100/(K6+K7)</f>
        <v>0</v>
      </c>
      <c r="M96" s="1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5">
      <c r="A97" s="4"/>
      <c r="B97" s="2" t="s">
        <v>88</v>
      </c>
      <c r="C97" s="4"/>
      <c r="D97" s="4"/>
      <c r="E97" s="4"/>
      <c r="F97" s="4"/>
      <c r="G97" s="4"/>
      <c r="H97" s="4"/>
      <c r="I97" s="4"/>
      <c r="J97" s="4"/>
      <c r="K97" s="11"/>
      <c r="L97" s="12">
        <f>K97*100/(K6+K7)</f>
        <v>0</v>
      </c>
      <c r="M97" s="1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5">
      <c r="A98" s="4"/>
      <c r="B98" s="2" t="s">
        <v>89</v>
      </c>
      <c r="C98" s="4"/>
      <c r="D98" s="4"/>
      <c r="E98" s="4"/>
      <c r="F98" s="4"/>
      <c r="G98" s="4"/>
      <c r="H98" s="4"/>
      <c r="I98" s="4"/>
      <c r="J98" s="4"/>
      <c r="K98" s="11"/>
      <c r="L98" s="12">
        <f>K98*100/(K6+K7)</f>
        <v>0</v>
      </c>
      <c r="M98" s="1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5">
      <c r="A99" s="4"/>
      <c r="B99" s="2" t="s">
        <v>90</v>
      </c>
      <c r="C99" s="4"/>
      <c r="D99" s="4"/>
      <c r="E99" s="4"/>
      <c r="F99" s="4"/>
      <c r="G99" s="4"/>
      <c r="H99" s="4"/>
      <c r="I99" s="4"/>
      <c r="J99" s="4"/>
      <c r="K99" s="11"/>
      <c r="L99" s="12">
        <f>K99*100/(K6+K7)</f>
        <v>0</v>
      </c>
      <c r="M99" s="1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5">
      <c r="A100" s="4"/>
      <c r="B100" s="2" t="s">
        <v>91</v>
      </c>
      <c r="C100" s="4"/>
      <c r="D100" s="4"/>
      <c r="E100" s="4"/>
      <c r="F100" s="4"/>
      <c r="G100" s="4"/>
      <c r="H100" s="4"/>
      <c r="I100" s="4"/>
      <c r="J100" s="4"/>
      <c r="K100" s="11"/>
      <c r="L100" s="12">
        <f>K100*100/(K6+K7)</f>
        <v>0</v>
      </c>
      <c r="M100" s="1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5">
      <c r="A101" s="4"/>
      <c r="B101" s="2" t="s">
        <v>92</v>
      </c>
      <c r="C101" s="4"/>
      <c r="D101" s="4"/>
      <c r="E101" s="4"/>
      <c r="F101" s="4"/>
      <c r="G101" s="4"/>
      <c r="H101" s="4"/>
      <c r="I101" s="4"/>
      <c r="J101" s="4"/>
      <c r="K101" s="11"/>
      <c r="L101" s="12">
        <f>K101*100/(K6+K7)</f>
        <v>0</v>
      </c>
      <c r="M101" s="1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5">
      <c r="A102" s="4"/>
      <c r="B102" s="2" t="s">
        <v>33</v>
      </c>
      <c r="C102" s="4"/>
      <c r="D102" s="4"/>
      <c r="E102" s="4"/>
      <c r="F102" s="4"/>
      <c r="G102" s="4"/>
      <c r="H102" s="4"/>
      <c r="I102" s="4"/>
      <c r="J102" s="4"/>
      <c r="K102" s="11"/>
      <c r="L102" s="12">
        <f>K102*100/(K6+K7)</f>
        <v>0</v>
      </c>
      <c r="M102" s="1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5">
      <c r="A103" s="18">
        <v>4.7</v>
      </c>
      <c r="B103" s="18" t="s">
        <v>93</v>
      </c>
      <c r="C103" s="18"/>
      <c r="D103" s="18"/>
      <c r="E103" s="23"/>
      <c r="F103" s="23"/>
      <c r="G103" s="23"/>
      <c r="H103" s="23"/>
      <c r="I103" s="23"/>
      <c r="J103" s="23"/>
      <c r="K103" s="24" t="s">
        <v>1</v>
      </c>
      <c r="L103" s="24" t="s">
        <v>2</v>
      </c>
      <c r="M103" s="23" t="s">
        <v>3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5">
      <c r="A104" s="4"/>
      <c r="B104" s="2" t="s">
        <v>94</v>
      </c>
      <c r="C104" s="4"/>
      <c r="D104" s="4"/>
      <c r="E104" s="4"/>
      <c r="F104" s="4"/>
      <c r="G104" s="4"/>
      <c r="H104" s="4"/>
      <c r="I104" s="4"/>
      <c r="J104" s="4"/>
      <c r="K104" s="11"/>
      <c r="L104" s="12">
        <f>K104*100/(K6+K7)</f>
        <v>0</v>
      </c>
      <c r="M104" s="1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5">
      <c r="A105" s="4"/>
      <c r="B105" s="2" t="s">
        <v>95</v>
      </c>
      <c r="C105" s="4"/>
      <c r="D105" s="4"/>
      <c r="E105" s="4"/>
      <c r="F105" s="4"/>
      <c r="G105" s="4"/>
      <c r="H105" s="4"/>
      <c r="I105" s="4"/>
      <c r="J105" s="4"/>
      <c r="K105" s="11"/>
      <c r="L105" s="12">
        <f>K105*100/(K6+K7)</f>
        <v>0</v>
      </c>
      <c r="M105" s="1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5">
      <c r="A106" s="4"/>
      <c r="B106" s="2" t="s">
        <v>96</v>
      </c>
      <c r="C106" s="4"/>
      <c r="D106" s="4"/>
      <c r="E106" s="4"/>
      <c r="F106" s="4"/>
      <c r="G106" s="4"/>
      <c r="H106" s="4"/>
      <c r="I106" s="4"/>
      <c r="J106" s="4"/>
      <c r="K106" s="11"/>
      <c r="L106" s="12">
        <f>K106*100/(K6+K7)</f>
        <v>0</v>
      </c>
      <c r="M106" s="1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5">
      <c r="A107" s="4"/>
      <c r="B107" s="2" t="s">
        <v>97</v>
      </c>
      <c r="C107" s="4"/>
      <c r="D107" s="4"/>
      <c r="E107" s="4"/>
      <c r="F107" s="4"/>
      <c r="G107" s="4"/>
      <c r="H107" s="4"/>
      <c r="I107" s="4"/>
      <c r="J107" s="4"/>
      <c r="K107" s="11"/>
      <c r="L107" s="12">
        <f>K107*100/(K6+K7)</f>
        <v>0</v>
      </c>
      <c r="M107" s="1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5">
      <c r="A108" s="4"/>
      <c r="B108" s="2" t="s">
        <v>98</v>
      </c>
      <c r="C108" s="4"/>
      <c r="D108" s="4"/>
      <c r="E108" s="4"/>
      <c r="F108" s="4"/>
      <c r="G108" s="4"/>
      <c r="H108" s="4"/>
      <c r="I108" s="4"/>
      <c r="J108" s="4"/>
      <c r="K108" s="11"/>
      <c r="L108" s="12">
        <f>K108*100/(K6+K7)</f>
        <v>0</v>
      </c>
      <c r="M108" s="1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5">
      <c r="A109" s="18">
        <v>4.8</v>
      </c>
      <c r="B109" s="32" t="s">
        <v>99</v>
      </c>
      <c r="C109" s="18"/>
      <c r="D109" s="18"/>
      <c r="E109" s="23"/>
      <c r="F109" s="23"/>
      <c r="G109" s="23"/>
      <c r="H109" s="23"/>
      <c r="I109" s="23"/>
      <c r="J109" s="23"/>
      <c r="K109" s="24" t="s">
        <v>1</v>
      </c>
      <c r="L109" s="24" t="s">
        <v>2</v>
      </c>
      <c r="M109" s="23" t="s">
        <v>3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5">
      <c r="A110" s="4"/>
      <c r="B110" s="2" t="s">
        <v>100</v>
      </c>
      <c r="C110" s="4"/>
      <c r="D110" s="4"/>
      <c r="E110" s="4"/>
      <c r="F110" s="4"/>
      <c r="G110" s="4"/>
      <c r="H110" s="4"/>
      <c r="I110" s="4"/>
      <c r="J110" s="4"/>
      <c r="K110" s="11"/>
      <c r="L110" s="12">
        <f>K110*100/(K6+K7)</f>
        <v>0</v>
      </c>
      <c r="M110" s="1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5">
      <c r="A111" s="4"/>
      <c r="B111" s="2" t="s">
        <v>101</v>
      </c>
      <c r="C111" s="4"/>
      <c r="D111" s="4"/>
      <c r="E111" s="4"/>
      <c r="F111" s="4"/>
      <c r="G111" s="4"/>
      <c r="H111" s="4"/>
      <c r="I111" s="4"/>
      <c r="J111" s="4"/>
      <c r="K111" s="11"/>
      <c r="L111" s="12">
        <f>K111*100/(K6+K7)</f>
        <v>0</v>
      </c>
      <c r="M111" s="1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5">
      <c r="A112" s="4"/>
      <c r="B112" s="2" t="s">
        <v>102</v>
      </c>
      <c r="C112" s="4"/>
      <c r="D112" s="4"/>
      <c r="E112" s="4"/>
      <c r="F112" s="4"/>
      <c r="G112" s="4"/>
      <c r="H112" s="4"/>
      <c r="I112" s="4"/>
      <c r="J112" s="4"/>
      <c r="K112" s="11"/>
      <c r="L112" s="12">
        <f>K112*100/(K6+K7)</f>
        <v>0</v>
      </c>
      <c r="M112" s="1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5">
      <c r="A113" s="4"/>
      <c r="B113" s="2" t="s">
        <v>103</v>
      </c>
      <c r="C113" s="4"/>
      <c r="D113" s="4"/>
      <c r="E113" s="4"/>
      <c r="F113" s="4"/>
      <c r="G113" s="4"/>
      <c r="H113" s="4"/>
      <c r="I113" s="4"/>
      <c r="J113" s="4"/>
      <c r="K113" s="11"/>
      <c r="L113" s="12">
        <f>K113*100/(K6+K7)</f>
        <v>0</v>
      </c>
      <c r="M113" s="1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5">
      <c r="A114" s="4"/>
      <c r="B114" s="2" t="s">
        <v>104</v>
      </c>
      <c r="C114" s="4"/>
      <c r="D114" s="4"/>
      <c r="E114" s="4"/>
      <c r="F114" s="4"/>
      <c r="G114" s="4"/>
      <c r="H114" s="4"/>
      <c r="I114" s="4"/>
      <c r="J114" s="4"/>
      <c r="K114" s="11"/>
      <c r="L114" s="12">
        <f>K114*100/(K6+K7)</f>
        <v>0</v>
      </c>
      <c r="M114" s="1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5">
      <c r="A115" s="18">
        <v>4.9000000000000004</v>
      </c>
      <c r="B115" s="32" t="s">
        <v>105</v>
      </c>
      <c r="C115" s="18"/>
      <c r="D115" s="23"/>
      <c r="E115" s="23"/>
      <c r="F115" s="23"/>
      <c r="G115" s="23"/>
      <c r="H115" s="23"/>
      <c r="I115" s="23"/>
      <c r="J115" s="23"/>
      <c r="K115" s="24" t="s">
        <v>1</v>
      </c>
      <c r="L115" s="24" t="s">
        <v>2</v>
      </c>
      <c r="M115" s="23" t="s">
        <v>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5">
      <c r="A116" s="4"/>
      <c r="B116" s="2" t="s">
        <v>106</v>
      </c>
      <c r="C116" s="4"/>
      <c r="D116" s="4"/>
      <c r="E116" s="4"/>
      <c r="F116" s="4"/>
      <c r="G116" s="4"/>
      <c r="H116" s="4"/>
      <c r="I116" s="4"/>
      <c r="J116" s="4"/>
      <c r="K116" s="11"/>
      <c r="L116" s="12">
        <f>K116*100/(K6+K7)</f>
        <v>0</v>
      </c>
      <c r="M116" s="1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5">
      <c r="A117" s="4"/>
      <c r="B117" s="2" t="s">
        <v>107</v>
      </c>
      <c r="C117" s="4"/>
      <c r="D117" s="4"/>
      <c r="E117" s="4"/>
      <c r="F117" s="4"/>
      <c r="G117" s="4"/>
      <c r="H117" s="4"/>
      <c r="I117" s="4"/>
      <c r="J117" s="4"/>
      <c r="K117" s="11"/>
      <c r="L117" s="12">
        <f>K117*100/(K6+K7)</f>
        <v>0</v>
      </c>
      <c r="M117" s="1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5">
      <c r="A118" s="4"/>
      <c r="B118" s="2" t="s">
        <v>108</v>
      </c>
      <c r="C118" s="4"/>
      <c r="D118" s="4"/>
      <c r="E118" s="4"/>
      <c r="F118" s="4"/>
      <c r="G118" s="4"/>
      <c r="H118" s="4"/>
      <c r="I118" s="4"/>
      <c r="J118" s="4"/>
      <c r="K118" s="11"/>
      <c r="L118" s="12">
        <f>K118*100/(K6+K7)</f>
        <v>0</v>
      </c>
      <c r="M118" s="1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5">
      <c r="A119" s="4"/>
      <c r="B119" s="2" t="s">
        <v>109</v>
      </c>
      <c r="C119" s="4"/>
      <c r="D119" s="4"/>
      <c r="E119" s="4"/>
      <c r="F119" s="4"/>
      <c r="G119" s="4"/>
      <c r="H119" s="4"/>
      <c r="I119" s="4"/>
      <c r="J119" s="4"/>
      <c r="K119" s="11"/>
      <c r="L119" s="12">
        <f>K119*100/(K6+K7)</f>
        <v>0</v>
      </c>
      <c r="M119" s="1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5">
      <c r="A120" s="4"/>
      <c r="B120" s="2" t="s">
        <v>110</v>
      </c>
      <c r="C120" s="4"/>
      <c r="D120" s="4"/>
      <c r="E120" s="4"/>
      <c r="F120" s="4"/>
      <c r="G120" s="4"/>
      <c r="H120" s="4"/>
      <c r="I120" s="4"/>
      <c r="J120" s="4"/>
      <c r="K120" s="11"/>
      <c r="L120" s="12">
        <f>K120*100/(K6+K7)</f>
        <v>0</v>
      </c>
      <c r="M120" s="1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5">
      <c r="A121" s="4"/>
      <c r="B121" s="2" t="s">
        <v>111</v>
      </c>
      <c r="C121" s="4"/>
      <c r="D121" s="4"/>
      <c r="E121" s="4"/>
      <c r="F121" s="4"/>
      <c r="G121" s="4"/>
      <c r="H121" s="4"/>
      <c r="I121" s="4"/>
      <c r="J121" s="4"/>
      <c r="K121" s="11"/>
      <c r="L121" s="12">
        <f>K121*100/(K6+K7)</f>
        <v>0</v>
      </c>
      <c r="M121" s="1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5">
      <c r="A122" s="33">
        <v>4.0999999999999996</v>
      </c>
      <c r="B122" s="32" t="s">
        <v>112</v>
      </c>
      <c r="C122" s="18"/>
      <c r="D122" s="23"/>
      <c r="E122" s="23"/>
      <c r="F122" s="23"/>
      <c r="G122" s="23"/>
      <c r="H122" s="23"/>
      <c r="I122" s="23"/>
      <c r="J122" s="23"/>
      <c r="K122" s="24" t="s">
        <v>1</v>
      </c>
      <c r="L122" s="24" t="s">
        <v>2</v>
      </c>
      <c r="M122" s="23" t="s">
        <v>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5">
      <c r="A123" s="4"/>
      <c r="B123" s="2" t="s">
        <v>113</v>
      </c>
      <c r="C123" s="4"/>
      <c r="D123" s="4"/>
      <c r="E123" s="4"/>
      <c r="F123" s="4"/>
      <c r="G123" s="4"/>
      <c r="H123" s="4"/>
      <c r="I123" s="4"/>
      <c r="J123" s="4"/>
      <c r="K123" s="11"/>
      <c r="L123" s="12">
        <f>K123*100/(K6+K7)</f>
        <v>0</v>
      </c>
      <c r="M123" s="1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5">
      <c r="A124" s="4"/>
      <c r="B124" s="2" t="s">
        <v>114</v>
      </c>
      <c r="C124" s="4"/>
      <c r="D124" s="4"/>
      <c r="E124" s="4"/>
      <c r="F124" s="4"/>
      <c r="G124" s="4"/>
      <c r="H124" s="4"/>
      <c r="I124" s="4"/>
      <c r="J124" s="4"/>
      <c r="K124" s="11"/>
      <c r="L124" s="12">
        <f>K124*100/(K6+K7)</f>
        <v>0</v>
      </c>
      <c r="M124" s="1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5">
      <c r="A125" s="4"/>
      <c r="B125" s="2" t="s">
        <v>115</v>
      </c>
      <c r="C125" s="4"/>
      <c r="D125" s="4"/>
      <c r="E125" s="4"/>
      <c r="F125" s="4"/>
      <c r="G125" s="4"/>
      <c r="H125" s="4"/>
      <c r="I125" s="4"/>
      <c r="J125" s="4"/>
      <c r="K125" s="11"/>
      <c r="L125" s="12">
        <f>K125*100/(K6+K7)</f>
        <v>0</v>
      </c>
      <c r="M125" s="1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5">
      <c r="A126" s="4"/>
      <c r="B126" s="2" t="s">
        <v>116</v>
      </c>
      <c r="C126" s="4"/>
      <c r="D126" s="4"/>
      <c r="E126" s="4"/>
      <c r="F126" s="4"/>
      <c r="G126" s="4"/>
      <c r="H126" s="4"/>
      <c r="I126" s="4"/>
      <c r="J126" s="4"/>
      <c r="K126" s="11"/>
      <c r="L126" s="12">
        <f>K126*100/(K6+K7)</f>
        <v>0</v>
      </c>
      <c r="M126" s="1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5">
      <c r="A127" s="4"/>
      <c r="B127" s="2" t="s">
        <v>117</v>
      </c>
      <c r="C127" s="4"/>
      <c r="D127" s="4"/>
      <c r="E127" s="4"/>
      <c r="F127" s="4"/>
      <c r="G127" s="4"/>
      <c r="H127" s="4"/>
      <c r="I127" s="4"/>
      <c r="J127" s="4"/>
      <c r="K127" s="11"/>
      <c r="L127" s="12">
        <f>K127*100/(K6+K7)</f>
        <v>0</v>
      </c>
      <c r="M127" s="1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5">
      <c r="A128" s="4"/>
      <c r="B128" s="2" t="s">
        <v>118</v>
      </c>
      <c r="C128" s="4"/>
      <c r="D128" s="4"/>
      <c r="E128" s="4"/>
      <c r="F128" s="4"/>
      <c r="G128" s="4"/>
      <c r="H128" s="4"/>
      <c r="I128" s="4"/>
      <c r="J128" s="4"/>
      <c r="K128" s="11"/>
      <c r="L128" s="12">
        <f>K128*100/(K6+K7)</f>
        <v>0</v>
      </c>
      <c r="M128" s="1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5">
      <c r="A129" s="4"/>
      <c r="B129" s="2" t="s">
        <v>119</v>
      </c>
      <c r="C129" s="4"/>
      <c r="D129" s="4"/>
      <c r="E129" s="4"/>
      <c r="F129" s="4"/>
      <c r="G129" s="4"/>
      <c r="H129" s="4"/>
      <c r="I129" s="4"/>
      <c r="J129" s="4"/>
      <c r="K129" s="11"/>
      <c r="L129" s="12">
        <f>K129*100/(K6+K7)</f>
        <v>0</v>
      </c>
      <c r="M129" s="1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5">
      <c r="A130" s="4"/>
      <c r="B130" s="2" t="s">
        <v>120</v>
      </c>
      <c r="C130" s="4"/>
      <c r="D130" s="4"/>
      <c r="E130" s="4"/>
      <c r="F130" s="4"/>
      <c r="G130" s="4"/>
      <c r="H130" s="4"/>
      <c r="I130" s="4"/>
      <c r="J130" s="4"/>
      <c r="K130" s="11"/>
      <c r="L130" s="12">
        <f>K130*100/(K6+K7)</f>
        <v>0</v>
      </c>
      <c r="M130" s="1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5">
      <c r="A131" s="4"/>
      <c r="B131" s="2" t="s">
        <v>121</v>
      </c>
      <c r="C131" s="4"/>
      <c r="D131" s="4"/>
      <c r="E131" s="4"/>
      <c r="F131" s="4"/>
      <c r="G131" s="4"/>
      <c r="H131" s="4"/>
      <c r="I131" s="4"/>
      <c r="J131" s="4"/>
      <c r="K131" s="11"/>
      <c r="L131" s="12">
        <f>K131*100/(K6+K7)</f>
        <v>0</v>
      </c>
      <c r="M131" s="1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5">
      <c r="A132" s="4"/>
      <c r="B132" s="2" t="s">
        <v>122</v>
      </c>
      <c r="C132" s="4"/>
      <c r="D132" s="4"/>
      <c r="E132" s="4"/>
      <c r="F132" s="4"/>
      <c r="G132" s="4"/>
      <c r="H132" s="4"/>
      <c r="I132" s="4"/>
      <c r="J132" s="4"/>
      <c r="K132" s="11"/>
      <c r="L132" s="12">
        <f>K132*100/(K6+K7)</f>
        <v>0</v>
      </c>
      <c r="M132" s="1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5">
      <c r="A133" s="18">
        <v>4.1100000000000003</v>
      </c>
      <c r="B133" s="32" t="s">
        <v>123</v>
      </c>
      <c r="C133" s="18"/>
      <c r="D133" s="18"/>
      <c r="E133" s="18"/>
      <c r="F133" s="18"/>
      <c r="G133" s="23"/>
      <c r="H133" s="23"/>
      <c r="I133" s="23"/>
      <c r="J133" s="23"/>
      <c r="K133" s="24" t="s">
        <v>1</v>
      </c>
      <c r="L133" s="24" t="s">
        <v>2</v>
      </c>
      <c r="M133" s="23" t="s">
        <v>3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5">
      <c r="A134" s="4"/>
      <c r="B134" s="2" t="s">
        <v>124</v>
      </c>
      <c r="C134" s="4"/>
      <c r="D134" s="4"/>
      <c r="E134" s="4"/>
      <c r="F134" s="4"/>
      <c r="G134" s="4"/>
      <c r="H134" s="4"/>
      <c r="I134" s="4"/>
      <c r="J134" s="4"/>
      <c r="K134" s="11"/>
      <c r="L134" s="12">
        <f>K134*100/(K6+K7)</f>
        <v>0</v>
      </c>
      <c r="M134" s="1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5">
      <c r="A135" s="4"/>
      <c r="B135" s="2" t="s">
        <v>125</v>
      </c>
      <c r="C135" s="4"/>
      <c r="D135" s="4"/>
      <c r="E135" s="4"/>
      <c r="F135" s="4"/>
      <c r="G135" s="4"/>
      <c r="H135" s="4"/>
      <c r="I135" s="4"/>
      <c r="J135" s="4"/>
      <c r="K135" s="11"/>
      <c r="L135" s="12">
        <f>K135*100/(K6+K7)</f>
        <v>0</v>
      </c>
      <c r="M135" s="1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5">
      <c r="A136" s="18">
        <v>4.12</v>
      </c>
      <c r="B136" s="32" t="s">
        <v>126</v>
      </c>
      <c r="C136" s="18"/>
      <c r="D136" s="18"/>
      <c r="E136" s="18"/>
      <c r="F136" s="23"/>
      <c r="G136" s="23"/>
      <c r="H136" s="23"/>
      <c r="I136" s="23"/>
      <c r="J136" s="23"/>
      <c r="K136" s="24" t="s">
        <v>1</v>
      </c>
      <c r="L136" s="24" t="s">
        <v>2</v>
      </c>
      <c r="M136" s="23" t="s">
        <v>3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5">
      <c r="A137" s="4"/>
      <c r="B137" s="2" t="s">
        <v>127</v>
      </c>
      <c r="C137" s="4"/>
      <c r="D137" s="4"/>
      <c r="E137" s="4"/>
      <c r="F137" s="4"/>
      <c r="G137" s="4"/>
      <c r="H137" s="4"/>
      <c r="I137" s="4"/>
      <c r="J137" s="4"/>
      <c r="K137" s="11"/>
      <c r="L137" s="12">
        <f>K137*100/(K6+K7)</f>
        <v>0</v>
      </c>
      <c r="M137" s="1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5">
      <c r="A138" s="4"/>
      <c r="B138" s="2" t="s">
        <v>128</v>
      </c>
      <c r="C138" s="4"/>
      <c r="D138" s="4"/>
      <c r="E138" s="4"/>
      <c r="F138" s="4"/>
      <c r="G138" s="4"/>
      <c r="H138" s="4"/>
      <c r="I138" s="4"/>
      <c r="J138" s="4"/>
      <c r="K138" s="11"/>
      <c r="L138" s="12">
        <f>K138*100/(K6+K7)</f>
        <v>0</v>
      </c>
      <c r="M138" s="1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5">
      <c r="A139" s="4"/>
      <c r="B139" s="2" t="s">
        <v>129</v>
      </c>
      <c r="C139" s="4"/>
      <c r="D139" s="4"/>
      <c r="E139" s="4"/>
      <c r="F139" s="4"/>
      <c r="G139" s="4"/>
      <c r="H139" s="4"/>
      <c r="I139" s="4"/>
      <c r="J139" s="4"/>
      <c r="K139" s="11"/>
      <c r="L139" s="12">
        <f>K139*100/(K6+K7)</f>
        <v>0</v>
      </c>
      <c r="M139" s="1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5">
      <c r="A140" s="4"/>
      <c r="B140" s="2" t="s">
        <v>130</v>
      </c>
      <c r="C140" s="4"/>
      <c r="D140" s="4"/>
      <c r="E140" s="4"/>
      <c r="F140" s="4"/>
      <c r="G140" s="4"/>
      <c r="H140" s="4"/>
      <c r="I140" s="4"/>
      <c r="J140" s="4"/>
      <c r="K140" s="11"/>
      <c r="L140" s="12">
        <f>K140*100/(K6+K7)</f>
        <v>0</v>
      </c>
      <c r="M140" s="1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5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5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5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5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5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5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5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5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5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5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5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5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1" customHeight="1" x14ac:dyDescent="0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1" customHeight="1" x14ac:dyDescent="0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5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1" customHeight="1" x14ac:dyDescent="0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5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1" customHeight="1" x14ac:dyDescent="0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5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1" customHeight="1" x14ac:dyDescent="0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5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1" customHeight="1" x14ac:dyDescent="0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5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1" customHeight="1" x14ac:dyDescent="0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1" customHeight="1" x14ac:dyDescent="0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1" customHeight="1" x14ac:dyDescent="0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1" customHeight="1" x14ac:dyDescent="0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1" customHeight="1" x14ac:dyDescent="0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1" customHeight="1" x14ac:dyDescent="0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1" customHeight="1" x14ac:dyDescent="0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1" customHeight="1" x14ac:dyDescent="0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1" customHeight="1" x14ac:dyDescent="0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1" customHeight="1" x14ac:dyDescent="0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1" customHeight="1" x14ac:dyDescent="0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1" customHeight="1" x14ac:dyDescent="0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1" customHeight="1" x14ac:dyDescent="0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1" customHeight="1" x14ac:dyDescent="0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1" customHeight="1" x14ac:dyDescent="0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1" customHeight="1" x14ac:dyDescent="0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1" customHeight="1" x14ac:dyDescent="0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1" customHeight="1" x14ac:dyDescent="0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5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1" customHeight="1" x14ac:dyDescent="0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5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1" customHeight="1" x14ac:dyDescent="0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5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1" customHeight="1" x14ac:dyDescent="0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5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1" customHeight="1" x14ac:dyDescent="0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1" customHeight="1" x14ac:dyDescent="0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1" customHeight="1" x14ac:dyDescent="0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1" customHeight="1" x14ac:dyDescent="0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1" customHeight="1" x14ac:dyDescent="0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1" customHeight="1" x14ac:dyDescent="0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1" customHeight="1" x14ac:dyDescent="0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1" customHeight="1" x14ac:dyDescent="0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1" customHeight="1" x14ac:dyDescent="0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1" customHeight="1" x14ac:dyDescent="0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1" customHeight="1" x14ac:dyDescent="0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1" customHeight="1" x14ac:dyDescent="0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1" customHeight="1" x14ac:dyDescent="0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1" customHeight="1" x14ac:dyDescent="0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1" customHeight="1" x14ac:dyDescent="0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1" customHeight="1" x14ac:dyDescent="0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1" customHeight="1" x14ac:dyDescent="0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1" customHeight="1" x14ac:dyDescent="0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1" customHeight="1" x14ac:dyDescent="0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1" customHeight="1" x14ac:dyDescent="0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5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1" customHeight="1" x14ac:dyDescent="0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1" customHeight="1" x14ac:dyDescent="0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1" customHeight="1" x14ac:dyDescent="0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1" customHeight="1" x14ac:dyDescent="0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1" customHeight="1" x14ac:dyDescent="0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1" customHeight="1" x14ac:dyDescent="0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1" customHeight="1" x14ac:dyDescent="0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1" customHeight="1" x14ac:dyDescent="0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1" customHeight="1" x14ac:dyDescent="0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1" customHeight="1" x14ac:dyDescent="0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1" customHeight="1" x14ac:dyDescent="0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1" customHeight="1" x14ac:dyDescent="0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1" customHeight="1" x14ac:dyDescent="0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1" customHeight="1" x14ac:dyDescent="0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1" customHeight="1" x14ac:dyDescent="0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1" customHeight="1" x14ac:dyDescent="0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1" customHeight="1" x14ac:dyDescent="0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1" customHeight="1" x14ac:dyDescent="0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1" customHeight="1" x14ac:dyDescent="0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1" customHeight="1" x14ac:dyDescent="0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1" customHeight="1" x14ac:dyDescent="0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1" customHeight="1" x14ac:dyDescent="0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1" customHeight="1" x14ac:dyDescent="0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1" customHeight="1" x14ac:dyDescent="0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1" customHeight="1" x14ac:dyDescent="0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1" customHeight="1" x14ac:dyDescent="0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1" customHeight="1" x14ac:dyDescent="0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1" customHeight="1" x14ac:dyDescent="0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1" customHeight="1" x14ac:dyDescent="0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1" customHeight="1" x14ac:dyDescent="0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1" customHeight="1" x14ac:dyDescent="0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1" customHeight="1" x14ac:dyDescent="0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1" customHeight="1" x14ac:dyDescent="0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1" customHeight="1" x14ac:dyDescent="0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1" customHeight="1" x14ac:dyDescent="0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1" customHeight="1" x14ac:dyDescent="0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1" customHeight="1" x14ac:dyDescent="0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1" customHeight="1" x14ac:dyDescent="0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1" customHeight="1" x14ac:dyDescent="0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1" customHeight="1" x14ac:dyDescent="0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1" customHeight="1" x14ac:dyDescent="0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1" customHeight="1" x14ac:dyDescent="0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1" customHeight="1" x14ac:dyDescent="0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1" customHeight="1" x14ac:dyDescent="0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1" customHeight="1" x14ac:dyDescent="0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1" customHeight="1" x14ac:dyDescent="0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1" customHeight="1" x14ac:dyDescent="0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1" customHeight="1" x14ac:dyDescent="0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1" customHeight="1" x14ac:dyDescent="0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1" customHeight="1" x14ac:dyDescent="0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1" customHeight="1" x14ac:dyDescent="0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1" customHeight="1" x14ac:dyDescent="0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1" customHeight="1" x14ac:dyDescent="0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1" customHeight="1" x14ac:dyDescent="0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1" customHeight="1" x14ac:dyDescent="0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1" customHeight="1" x14ac:dyDescent="0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1" customHeight="1" x14ac:dyDescent="0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1" customHeight="1" x14ac:dyDescent="0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1" customHeight="1" x14ac:dyDescent="0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1" customHeight="1" x14ac:dyDescent="0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1" customHeight="1" x14ac:dyDescent="0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1" customHeight="1" x14ac:dyDescent="0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1" customHeight="1" x14ac:dyDescent="0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1" customHeight="1" x14ac:dyDescent="0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1" customHeight="1" x14ac:dyDescent="0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1" customHeight="1" x14ac:dyDescent="0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1" customHeight="1" x14ac:dyDescent="0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5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1" customHeight="1" x14ac:dyDescent="0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5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1" customHeight="1" x14ac:dyDescent="0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5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1" customHeight="1" x14ac:dyDescent="0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5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1" customHeight="1" x14ac:dyDescent="0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5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1" customHeight="1" x14ac:dyDescent="0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5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1" customHeight="1" x14ac:dyDescent="0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5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1" customHeight="1" x14ac:dyDescent="0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5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1" customHeight="1" x14ac:dyDescent="0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5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1" customHeight="1" x14ac:dyDescent="0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5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1" customHeight="1" x14ac:dyDescent="0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5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1" customHeight="1" x14ac:dyDescent="0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5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1" customHeight="1" x14ac:dyDescent="0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5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1" customHeight="1" x14ac:dyDescent="0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5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1" customHeight="1" x14ac:dyDescent="0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5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1" customHeight="1" x14ac:dyDescent="0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5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1" customHeight="1" x14ac:dyDescent="0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1" customHeight="1" x14ac:dyDescent="0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5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1" customHeight="1" x14ac:dyDescent="0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5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1" customHeight="1" x14ac:dyDescent="0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5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1" customHeight="1" x14ac:dyDescent="0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5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1" customHeight="1" x14ac:dyDescent="0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5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1" customHeight="1" x14ac:dyDescent="0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5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1" customHeight="1" x14ac:dyDescent="0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5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1" customHeight="1" x14ac:dyDescent="0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5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1" customHeight="1" x14ac:dyDescent="0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5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1" customHeight="1" x14ac:dyDescent="0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5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1" customHeight="1" x14ac:dyDescent="0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5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1" customHeight="1" x14ac:dyDescent="0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5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1" customHeight="1" x14ac:dyDescent="0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5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1" customHeight="1" x14ac:dyDescent="0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5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1" customHeight="1" x14ac:dyDescent="0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5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1" customHeight="1" x14ac:dyDescent="0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5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1" customHeight="1" x14ac:dyDescent="0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5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1" customHeight="1" x14ac:dyDescent="0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5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1" customHeight="1" x14ac:dyDescent="0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5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1" customHeight="1" x14ac:dyDescent="0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5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1" customHeight="1" x14ac:dyDescent="0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5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1" customHeight="1" x14ac:dyDescent="0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5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1" customHeight="1" x14ac:dyDescent="0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5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1" customHeight="1" x14ac:dyDescent="0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5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1" customHeight="1" x14ac:dyDescent="0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5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1" customHeight="1" x14ac:dyDescent="0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5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1" customHeight="1" x14ac:dyDescent="0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5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1" customHeight="1" x14ac:dyDescent="0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5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1" customHeight="1" x14ac:dyDescent="0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5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1" customHeight="1" x14ac:dyDescent="0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5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1" customHeight="1" x14ac:dyDescent="0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5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1" customHeight="1" x14ac:dyDescent="0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5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1" customHeight="1" x14ac:dyDescent="0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5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1" customHeight="1" x14ac:dyDescent="0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5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1" customHeight="1" x14ac:dyDescent="0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5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1" customHeight="1" x14ac:dyDescent="0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5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1" customHeight="1" x14ac:dyDescent="0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5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1" customHeight="1" x14ac:dyDescent="0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5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1" customHeight="1" x14ac:dyDescent="0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5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1" customHeight="1" x14ac:dyDescent="0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5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1" customHeight="1" x14ac:dyDescent="0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5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1" customHeight="1" x14ac:dyDescent="0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5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1" customHeight="1" x14ac:dyDescent="0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5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1" customHeight="1" x14ac:dyDescent="0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5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1" customHeight="1" x14ac:dyDescent="0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5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1" customHeight="1" x14ac:dyDescent="0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5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1" customHeight="1" x14ac:dyDescent="0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5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1" customHeight="1" x14ac:dyDescent="0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5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1" customHeight="1" x14ac:dyDescent="0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1" customHeight="1" x14ac:dyDescent="0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5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1" customHeight="1" x14ac:dyDescent="0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5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1" customHeight="1" x14ac:dyDescent="0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5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1" customHeight="1" x14ac:dyDescent="0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5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1" customHeight="1" x14ac:dyDescent="0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5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1" customHeight="1" x14ac:dyDescent="0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5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1" customHeight="1" x14ac:dyDescent="0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5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1" customHeight="1" x14ac:dyDescent="0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5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1" customHeight="1" x14ac:dyDescent="0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5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1" customHeight="1" x14ac:dyDescent="0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5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1" customHeight="1" x14ac:dyDescent="0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5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1" customHeight="1" x14ac:dyDescent="0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5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1" customHeight="1" x14ac:dyDescent="0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5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1" customHeight="1" x14ac:dyDescent="0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5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1" customHeight="1" x14ac:dyDescent="0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5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1" customHeight="1" x14ac:dyDescent="0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5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1" customHeight="1" x14ac:dyDescent="0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5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1" customHeight="1" x14ac:dyDescent="0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5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1" customHeight="1" x14ac:dyDescent="0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5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1" customHeight="1" x14ac:dyDescent="0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5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1" customHeight="1" x14ac:dyDescent="0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5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1" customHeight="1" x14ac:dyDescent="0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5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1" customHeight="1" x14ac:dyDescent="0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5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1" customHeight="1" x14ac:dyDescent="0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5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1" customHeight="1" x14ac:dyDescent="0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5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1" customHeight="1" x14ac:dyDescent="0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5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1" customHeight="1" x14ac:dyDescent="0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5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1" customHeight="1" x14ac:dyDescent="0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5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1" customHeight="1" x14ac:dyDescent="0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5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1" customHeight="1" x14ac:dyDescent="0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5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1" customHeight="1" x14ac:dyDescent="0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5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1" customHeight="1" x14ac:dyDescent="0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5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1" customHeight="1" x14ac:dyDescent="0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5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1" customHeight="1" x14ac:dyDescent="0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5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1" customHeight="1" x14ac:dyDescent="0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5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1" customHeight="1" x14ac:dyDescent="0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5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1" customHeight="1" x14ac:dyDescent="0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5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1" customHeight="1" x14ac:dyDescent="0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5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1" customHeight="1" x14ac:dyDescent="0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5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1" customHeight="1" x14ac:dyDescent="0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5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1" customHeight="1" x14ac:dyDescent="0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5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1" customHeight="1" x14ac:dyDescent="0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5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1" customHeight="1" x14ac:dyDescent="0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5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1" customHeight="1" x14ac:dyDescent="0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5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1" customHeight="1" x14ac:dyDescent="0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5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1" customHeight="1" x14ac:dyDescent="0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5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1" customHeight="1" x14ac:dyDescent="0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5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1" customHeight="1" x14ac:dyDescent="0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5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1" customHeight="1" x14ac:dyDescent="0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5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1" customHeight="1" x14ac:dyDescent="0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5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1" customHeight="1" x14ac:dyDescent="0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5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1" customHeight="1" x14ac:dyDescent="0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5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1" customHeight="1" x14ac:dyDescent="0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5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1" customHeight="1" x14ac:dyDescent="0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5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1" customHeight="1" x14ac:dyDescent="0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5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1" customHeight="1" x14ac:dyDescent="0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5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1" customHeight="1" x14ac:dyDescent="0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5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1" customHeight="1" x14ac:dyDescent="0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5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1" customHeight="1" x14ac:dyDescent="0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5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1" customHeight="1" x14ac:dyDescent="0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5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1" customHeight="1" x14ac:dyDescent="0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5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1" customHeight="1" x14ac:dyDescent="0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5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1" customHeight="1" x14ac:dyDescent="0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5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1" customHeight="1" x14ac:dyDescent="0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5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1" customHeight="1" x14ac:dyDescent="0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5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1" customHeight="1" x14ac:dyDescent="0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5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1" customHeight="1" x14ac:dyDescent="0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5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1" customHeight="1" x14ac:dyDescent="0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5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1" customHeight="1" x14ac:dyDescent="0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1" customHeight="1" x14ac:dyDescent="0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1" customHeight="1" x14ac:dyDescent="0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5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1" customHeight="1" x14ac:dyDescent="0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5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1" customHeight="1" x14ac:dyDescent="0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5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1" customHeight="1" x14ac:dyDescent="0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5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1" customHeight="1" x14ac:dyDescent="0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5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1" customHeight="1" x14ac:dyDescent="0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5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1" customHeight="1" x14ac:dyDescent="0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5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1" customHeight="1" x14ac:dyDescent="0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5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1" customHeight="1" x14ac:dyDescent="0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5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1" customHeight="1" x14ac:dyDescent="0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5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1" customHeight="1" x14ac:dyDescent="0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5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1" customHeight="1" x14ac:dyDescent="0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5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1" customHeight="1" x14ac:dyDescent="0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5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1" customHeight="1" x14ac:dyDescent="0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5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1" customHeight="1" x14ac:dyDescent="0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5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1" customHeight="1" x14ac:dyDescent="0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5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1" customHeight="1" x14ac:dyDescent="0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5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1" customHeight="1" x14ac:dyDescent="0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5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1" customHeight="1" x14ac:dyDescent="0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5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1" customHeight="1" x14ac:dyDescent="0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5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1" customHeight="1" x14ac:dyDescent="0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5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1" customHeight="1" x14ac:dyDescent="0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5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1" customHeight="1" x14ac:dyDescent="0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5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1" customHeight="1" x14ac:dyDescent="0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5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1" customHeight="1" x14ac:dyDescent="0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5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1" customHeight="1" x14ac:dyDescent="0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5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1" customHeight="1" x14ac:dyDescent="0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5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1" customHeight="1" x14ac:dyDescent="0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5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1" customHeight="1" x14ac:dyDescent="0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5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1" customHeight="1" x14ac:dyDescent="0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5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1" customHeight="1" x14ac:dyDescent="0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5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1" customHeight="1" x14ac:dyDescent="0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5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1" customHeight="1" x14ac:dyDescent="0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5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1" customHeight="1" x14ac:dyDescent="0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5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1" customHeight="1" x14ac:dyDescent="0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5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1" customHeight="1" x14ac:dyDescent="0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5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1" customHeight="1" x14ac:dyDescent="0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5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1" customHeight="1" x14ac:dyDescent="0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5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1" customHeight="1" x14ac:dyDescent="0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5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1" customHeight="1" x14ac:dyDescent="0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5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1" customHeight="1" x14ac:dyDescent="0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5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1" customHeight="1" x14ac:dyDescent="0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5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1" customHeight="1" x14ac:dyDescent="0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5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1" customHeight="1" x14ac:dyDescent="0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5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1" customHeight="1" x14ac:dyDescent="0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5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1" customHeight="1" x14ac:dyDescent="0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5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1" customHeight="1" x14ac:dyDescent="0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5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1" customHeight="1" x14ac:dyDescent="0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5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1" customHeight="1" x14ac:dyDescent="0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5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1" customHeight="1" x14ac:dyDescent="0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5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1" customHeight="1" x14ac:dyDescent="0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5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1" customHeight="1" x14ac:dyDescent="0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5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1" customHeight="1" x14ac:dyDescent="0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5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1" customHeight="1" x14ac:dyDescent="0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5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1" customHeight="1" x14ac:dyDescent="0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5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1" customHeight="1" x14ac:dyDescent="0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5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1" customHeight="1" x14ac:dyDescent="0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5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1" customHeight="1" x14ac:dyDescent="0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5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1" customHeight="1" x14ac:dyDescent="0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5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1" customHeight="1" x14ac:dyDescent="0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5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1" customHeight="1" x14ac:dyDescent="0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5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1" customHeight="1" x14ac:dyDescent="0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5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1" customHeight="1" x14ac:dyDescent="0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5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1" customHeight="1" x14ac:dyDescent="0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5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1" customHeight="1" x14ac:dyDescent="0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5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1" customHeight="1" x14ac:dyDescent="0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5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1" customHeight="1" x14ac:dyDescent="0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5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1" customHeight="1" x14ac:dyDescent="0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5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1" customHeight="1" x14ac:dyDescent="0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5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1" customHeight="1" x14ac:dyDescent="0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5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1" customHeight="1" x14ac:dyDescent="0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5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1" customHeight="1" x14ac:dyDescent="0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5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1" customHeight="1" x14ac:dyDescent="0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5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1" customHeight="1" x14ac:dyDescent="0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5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1" customHeight="1" x14ac:dyDescent="0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5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1" customHeight="1" x14ac:dyDescent="0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5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1" customHeight="1" x14ac:dyDescent="0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5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1" customHeight="1" x14ac:dyDescent="0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5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1" customHeight="1" x14ac:dyDescent="0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5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1" customHeight="1" x14ac:dyDescent="0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5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1" customHeight="1" x14ac:dyDescent="0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5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1" customHeight="1" x14ac:dyDescent="0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5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1" customHeight="1" x14ac:dyDescent="0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5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1" customHeight="1" x14ac:dyDescent="0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5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1" customHeight="1" x14ac:dyDescent="0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5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1" customHeight="1" x14ac:dyDescent="0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5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1" customHeight="1" x14ac:dyDescent="0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5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1" customHeight="1" x14ac:dyDescent="0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5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1" customHeight="1" x14ac:dyDescent="0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5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1" customHeight="1" x14ac:dyDescent="0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5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1" customHeight="1" x14ac:dyDescent="0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5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1" customHeight="1" x14ac:dyDescent="0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5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1" customHeight="1" x14ac:dyDescent="0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5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1" customHeight="1" x14ac:dyDescent="0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5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1" customHeight="1" x14ac:dyDescent="0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5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1" customHeight="1" x14ac:dyDescent="0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5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1" customHeight="1" x14ac:dyDescent="0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5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1" customHeight="1" x14ac:dyDescent="0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5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1" customHeight="1" x14ac:dyDescent="0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5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1" customHeight="1" x14ac:dyDescent="0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5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1" customHeight="1" x14ac:dyDescent="0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5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1" customHeight="1" x14ac:dyDescent="0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5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1" customHeight="1" x14ac:dyDescent="0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5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1" customHeight="1" x14ac:dyDescent="0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5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1" customHeight="1" x14ac:dyDescent="0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5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1" customHeight="1" x14ac:dyDescent="0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5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1" customHeight="1" x14ac:dyDescent="0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5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1" customHeight="1" x14ac:dyDescent="0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5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1" customHeight="1" x14ac:dyDescent="0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5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1" customHeight="1" x14ac:dyDescent="0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5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1" customHeight="1" x14ac:dyDescent="0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5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1" customHeight="1" x14ac:dyDescent="0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5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1" customHeight="1" x14ac:dyDescent="0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5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1" customHeight="1" x14ac:dyDescent="0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5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1" customHeight="1" x14ac:dyDescent="0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5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1" customHeight="1" x14ac:dyDescent="0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5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1" customHeight="1" x14ac:dyDescent="0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5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1" customHeight="1" x14ac:dyDescent="0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5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1" customHeight="1" x14ac:dyDescent="0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5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1" customHeight="1" x14ac:dyDescent="0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5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1" customHeight="1" x14ac:dyDescent="0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5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1" customHeight="1" x14ac:dyDescent="0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5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1" customHeight="1" x14ac:dyDescent="0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5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1" customHeight="1" x14ac:dyDescent="0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5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1" customHeight="1" x14ac:dyDescent="0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5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1" customHeight="1" x14ac:dyDescent="0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5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1" customHeight="1" x14ac:dyDescent="0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5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1" customHeight="1" x14ac:dyDescent="0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5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1" customHeight="1" x14ac:dyDescent="0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5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1" customHeight="1" x14ac:dyDescent="0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5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1" customHeight="1" x14ac:dyDescent="0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5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1" customHeight="1" x14ac:dyDescent="0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5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1" customHeight="1" x14ac:dyDescent="0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5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1" customHeight="1" x14ac:dyDescent="0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5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1" customHeight="1" x14ac:dyDescent="0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5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1" customHeight="1" x14ac:dyDescent="0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5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1" customHeight="1" x14ac:dyDescent="0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5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1" customHeight="1" x14ac:dyDescent="0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5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1" customHeight="1" x14ac:dyDescent="0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5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1" customHeight="1" x14ac:dyDescent="0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5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1" customHeight="1" x14ac:dyDescent="0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5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1" customHeight="1" x14ac:dyDescent="0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5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1" customHeight="1" x14ac:dyDescent="0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5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1" customHeight="1" x14ac:dyDescent="0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5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1" customHeight="1" x14ac:dyDescent="0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5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1" customHeight="1" x14ac:dyDescent="0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5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1" customHeight="1" x14ac:dyDescent="0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5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1" customHeight="1" x14ac:dyDescent="0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5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1" customHeight="1" x14ac:dyDescent="0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5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1" customHeight="1" x14ac:dyDescent="0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5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1" customHeight="1" x14ac:dyDescent="0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5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1" customHeight="1" x14ac:dyDescent="0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5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1" customHeight="1" x14ac:dyDescent="0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5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1" customHeight="1" x14ac:dyDescent="0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5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1" customHeight="1" x14ac:dyDescent="0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5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1" customHeight="1" x14ac:dyDescent="0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5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1" customHeight="1" x14ac:dyDescent="0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5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1" customHeight="1" x14ac:dyDescent="0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5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1" customHeight="1" x14ac:dyDescent="0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5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1" customHeight="1" x14ac:dyDescent="0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5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1" customHeight="1" x14ac:dyDescent="0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5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1" customHeight="1" x14ac:dyDescent="0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5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1" customHeight="1" x14ac:dyDescent="0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5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1" customHeight="1" x14ac:dyDescent="0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5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1" customHeight="1" x14ac:dyDescent="0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5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1" customHeight="1" x14ac:dyDescent="0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5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1" customHeight="1" x14ac:dyDescent="0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5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1" customHeight="1" x14ac:dyDescent="0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5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1" customHeight="1" x14ac:dyDescent="0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5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1" customHeight="1" x14ac:dyDescent="0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5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1" customHeight="1" x14ac:dyDescent="0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5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1" customHeight="1" x14ac:dyDescent="0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5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1" customHeight="1" x14ac:dyDescent="0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5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1" customHeight="1" x14ac:dyDescent="0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5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1" customHeight="1" x14ac:dyDescent="0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5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1" customHeight="1" x14ac:dyDescent="0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5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1" customHeight="1" x14ac:dyDescent="0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5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1" customHeight="1" x14ac:dyDescent="0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5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1" customHeight="1" x14ac:dyDescent="0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5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1" customHeight="1" x14ac:dyDescent="0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5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1" customHeight="1" x14ac:dyDescent="0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5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1" customHeight="1" x14ac:dyDescent="0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5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1" customHeight="1" x14ac:dyDescent="0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5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1" customHeight="1" x14ac:dyDescent="0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5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1" customHeight="1" x14ac:dyDescent="0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5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1" customHeight="1" x14ac:dyDescent="0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5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1" customHeight="1" x14ac:dyDescent="0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5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1" customHeight="1" x14ac:dyDescent="0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5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1" customHeight="1" x14ac:dyDescent="0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5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1" customHeight="1" x14ac:dyDescent="0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5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1" customHeight="1" x14ac:dyDescent="0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5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1" customHeight="1" x14ac:dyDescent="0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5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1" customHeight="1" x14ac:dyDescent="0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5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1" customHeight="1" x14ac:dyDescent="0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5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1" customHeight="1" x14ac:dyDescent="0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5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1" customHeight="1" x14ac:dyDescent="0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5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1" customHeight="1" x14ac:dyDescent="0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5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1" customHeight="1" x14ac:dyDescent="0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5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1" customHeight="1" x14ac:dyDescent="0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5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1" customHeight="1" x14ac:dyDescent="0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5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1" customHeight="1" x14ac:dyDescent="0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5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1" customHeight="1" x14ac:dyDescent="0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5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1" customHeight="1" x14ac:dyDescent="0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5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1" customHeight="1" x14ac:dyDescent="0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5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1" customHeight="1" x14ac:dyDescent="0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5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1" customHeight="1" x14ac:dyDescent="0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5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1" customHeight="1" x14ac:dyDescent="0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5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1" customHeight="1" x14ac:dyDescent="0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5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1" customHeight="1" x14ac:dyDescent="0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5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1" customHeight="1" x14ac:dyDescent="0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5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1" customHeight="1" x14ac:dyDescent="0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5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1" customHeight="1" x14ac:dyDescent="0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5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1" customHeight="1" x14ac:dyDescent="0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5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1" customHeight="1" x14ac:dyDescent="0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5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1" customHeight="1" x14ac:dyDescent="0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5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1" customHeight="1" x14ac:dyDescent="0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5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1" customHeight="1" x14ac:dyDescent="0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5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1" customHeight="1" x14ac:dyDescent="0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5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1" customHeight="1" x14ac:dyDescent="0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5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1" customHeight="1" x14ac:dyDescent="0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5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1" customHeight="1" x14ac:dyDescent="0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5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1" customHeight="1" x14ac:dyDescent="0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5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1" customHeight="1" x14ac:dyDescent="0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5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1" customHeight="1" x14ac:dyDescent="0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5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1" customHeight="1" x14ac:dyDescent="0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5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1" customHeight="1" x14ac:dyDescent="0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5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1" customHeight="1" x14ac:dyDescent="0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5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1" customHeight="1" x14ac:dyDescent="0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5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1" customHeight="1" x14ac:dyDescent="0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5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1" customHeight="1" x14ac:dyDescent="0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5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1" customHeight="1" x14ac:dyDescent="0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5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1" customHeight="1" x14ac:dyDescent="0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5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1" customHeight="1" x14ac:dyDescent="0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5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1" customHeight="1" x14ac:dyDescent="0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5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1" customHeight="1" x14ac:dyDescent="0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5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1" customHeight="1" x14ac:dyDescent="0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5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1" customHeight="1" x14ac:dyDescent="0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5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1" customHeight="1" x14ac:dyDescent="0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5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1" customHeight="1" x14ac:dyDescent="0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5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1" customHeight="1" x14ac:dyDescent="0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5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1" customHeight="1" x14ac:dyDescent="0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5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1" customHeight="1" x14ac:dyDescent="0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5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1" customHeight="1" x14ac:dyDescent="0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5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1" customHeight="1" x14ac:dyDescent="0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5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1" customHeight="1" x14ac:dyDescent="0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5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1" customHeight="1" x14ac:dyDescent="0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5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1" customHeight="1" x14ac:dyDescent="0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5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1" customHeight="1" x14ac:dyDescent="0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5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1" customHeight="1" x14ac:dyDescent="0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5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1" customHeight="1" x14ac:dyDescent="0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5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1" customHeight="1" x14ac:dyDescent="0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5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1" customHeight="1" x14ac:dyDescent="0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5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1" customHeight="1" x14ac:dyDescent="0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5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1" customHeight="1" x14ac:dyDescent="0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5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1" customHeight="1" x14ac:dyDescent="0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5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1" customHeight="1" x14ac:dyDescent="0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5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1" customHeight="1" x14ac:dyDescent="0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5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1" customHeight="1" x14ac:dyDescent="0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5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1" customHeight="1" x14ac:dyDescent="0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5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1" customHeight="1" x14ac:dyDescent="0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5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1" customHeight="1" x14ac:dyDescent="0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5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1" customHeight="1" x14ac:dyDescent="0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5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1" customHeight="1" x14ac:dyDescent="0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5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1" customHeight="1" x14ac:dyDescent="0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5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1" customHeight="1" x14ac:dyDescent="0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5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1" customHeight="1" x14ac:dyDescent="0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5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1" customHeight="1" x14ac:dyDescent="0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5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1" customHeight="1" x14ac:dyDescent="0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5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1" customHeight="1" x14ac:dyDescent="0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5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1" customHeight="1" x14ac:dyDescent="0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5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1" customHeight="1" x14ac:dyDescent="0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5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1" customHeight="1" x14ac:dyDescent="0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5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1" customHeight="1" x14ac:dyDescent="0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5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1" customHeight="1" x14ac:dyDescent="0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5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1" customHeight="1" x14ac:dyDescent="0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5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1" customHeight="1" x14ac:dyDescent="0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5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1" customHeight="1" x14ac:dyDescent="0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5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1" customHeight="1" x14ac:dyDescent="0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5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1" customHeight="1" x14ac:dyDescent="0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5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1" customHeight="1" x14ac:dyDescent="0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5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1" customHeight="1" x14ac:dyDescent="0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5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1" customHeight="1" x14ac:dyDescent="0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5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1" customHeight="1" x14ac:dyDescent="0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5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1" customHeight="1" x14ac:dyDescent="0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5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1" customHeight="1" x14ac:dyDescent="0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5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1" customHeight="1" x14ac:dyDescent="0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5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1" customHeight="1" x14ac:dyDescent="0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5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1" customHeight="1" x14ac:dyDescent="0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5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1" customHeight="1" x14ac:dyDescent="0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5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1" customHeight="1" x14ac:dyDescent="0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5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1" customHeight="1" x14ac:dyDescent="0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5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1" customHeight="1" x14ac:dyDescent="0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5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1" customHeight="1" x14ac:dyDescent="0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5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1" customHeight="1" x14ac:dyDescent="0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5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1" customHeight="1" x14ac:dyDescent="0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5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1" customHeight="1" x14ac:dyDescent="0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5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1" customHeight="1" x14ac:dyDescent="0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5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1" customHeight="1" x14ac:dyDescent="0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5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1" customHeight="1" x14ac:dyDescent="0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5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1" customHeight="1" x14ac:dyDescent="0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5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1" customHeight="1" x14ac:dyDescent="0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5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1" customHeight="1" x14ac:dyDescent="0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5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1" customHeight="1" x14ac:dyDescent="0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5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1" customHeight="1" x14ac:dyDescent="0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5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1" customHeight="1" x14ac:dyDescent="0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5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1" customHeight="1" x14ac:dyDescent="0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5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1" customHeight="1" x14ac:dyDescent="0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5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1" customHeight="1" x14ac:dyDescent="0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5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1" customHeight="1" x14ac:dyDescent="0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5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1" customHeight="1" x14ac:dyDescent="0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5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1" customHeight="1" x14ac:dyDescent="0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5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1" customHeight="1" x14ac:dyDescent="0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5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1" customHeight="1" x14ac:dyDescent="0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5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1" customHeight="1" x14ac:dyDescent="0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5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1" customHeight="1" x14ac:dyDescent="0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5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1" customHeight="1" x14ac:dyDescent="0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5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1" customHeight="1" x14ac:dyDescent="0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5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1" customHeight="1" x14ac:dyDescent="0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5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1" customHeight="1" x14ac:dyDescent="0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5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1" customHeight="1" x14ac:dyDescent="0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5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1" customHeight="1" x14ac:dyDescent="0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5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1" customHeight="1" x14ac:dyDescent="0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5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1" customHeight="1" x14ac:dyDescent="0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5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1" customHeight="1" x14ac:dyDescent="0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5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1" customHeight="1" x14ac:dyDescent="0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5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1" customHeight="1" x14ac:dyDescent="0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5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1" customHeight="1" x14ac:dyDescent="0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5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1" customHeight="1" x14ac:dyDescent="0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5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1" customHeight="1" x14ac:dyDescent="0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5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1" customHeight="1" x14ac:dyDescent="0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5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1" customHeight="1" x14ac:dyDescent="0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5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1" customHeight="1" x14ac:dyDescent="0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5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1" customHeight="1" x14ac:dyDescent="0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5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1" customHeight="1" x14ac:dyDescent="0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5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1" customHeight="1" x14ac:dyDescent="0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5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1" customHeight="1" x14ac:dyDescent="0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5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1" customHeight="1" x14ac:dyDescent="0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5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1" customHeight="1" x14ac:dyDescent="0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5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1" customHeight="1" x14ac:dyDescent="0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5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1" customHeight="1" x14ac:dyDescent="0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5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1" customHeight="1" x14ac:dyDescent="0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5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1" customHeight="1" x14ac:dyDescent="0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5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1" customHeight="1" x14ac:dyDescent="0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5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1" customHeight="1" x14ac:dyDescent="0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5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1" customHeight="1" x14ac:dyDescent="0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5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1" customHeight="1" x14ac:dyDescent="0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5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1" customHeight="1" x14ac:dyDescent="0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5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1" customHeight="1" x14ac:dyDescent="0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5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1" customHeight="1" x14ac:dyDescent="0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5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1" customHeight="1" x14ac:dyDescent="0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5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1" customHeight="1" x14ac:dyDescent="0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5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1" customHeight="1" x14ac:dyDescent="0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5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1" customHeight="1" x14ac:dyDescent="0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5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1" customHeight="1" x14ac:dyDescent="0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5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1" customHeight="1" x14ac:dyDescent="0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5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1" customHeight="1" x14ac:dyDescent="0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5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1" customHeight="1" x14ac:dyDescent="0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5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1" customHeight="1" x14ac:dyDescent="0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5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1" customHeight="1" x14ac:dyDescent="0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5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1" customHeight="1" x14ac:dyDescent="0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5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1" customHeight="1" x14ac:dyDescent="0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5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1" customHeight="1" x14ac:dyDescent="0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5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1" customHeight="1" x14ac:dyDescent="0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5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1" customHeight="1" x14ac:dyDescent="0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5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1" customHeight="1" x14ac:dyDescent="0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5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1" customHeight="1" x14ac:dyDescent="0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5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1" customHeight="1" x14ac:dyDescent="0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5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1" customHeight="1" x14ac:dyDescent="0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5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1" customHeight="1" x14ac:dyDescent="0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5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1" customHeight="1" x14ac:dyDescent="0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5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1" customHeight="1" x14ac:dyDescent="0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5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1" customHeight="1" x14ac:dyDescent="0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5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1" customHeight="1" x14ac:dyDescent="0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5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1" customHeight="1" x14ac:dyDescent="0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5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1" customHeight="1" x14ac:dyDescent="0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5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1" customHeight="1" x14ac:dyDescent="0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5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1" customHeight="1" x14ac:dyDescent="0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5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1" customHeight="1" x14ac:dyDescent="0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5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1" customHeight="1" x14ac:dyDescent="0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5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1" customHeight="1" x14ac:dyDescent="0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5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1" customHeight="1" x14ac:dyDescent="0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5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1" customHeight="1" x14ac:dyDescent="0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5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1" customHeight="1" x14ac:dyDescent="0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5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1" customHeight="1" x14ac:dyDescent="0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5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1" customHeight="1" x14ac:dyDescent="0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5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1" customHeight="1" x14ac:dyDescent="0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5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1" customHeight="1" x14ac:dyDescent="0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5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1" customHeight="1" x14ac:dyDescent="0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5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1" customHeight="1" x14ac:dyDescent="0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5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1" customHeight="1" x14ac:dyDescent="0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5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1" customHeight="1" x14ac:dyDescent="0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5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1" customHeight="1" x14ac:dyDescent="0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5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1" customHeight="1" x14ac:dyDescent="0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5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1" customHeight="1" x14ac:dyDescent="0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5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1" customHeight="1" x14ac:dyDescent="0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5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1" customHeight="1" x14ac:dyDescent="0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5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1" customHeight="1" x14ac:dyDescent="0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5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1" customHeight="1" x14ac:dyDescent="0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5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1" customHeight="1" x14ac:dyDescent="0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5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1" customHeight="1" x14ac:dyDescent="0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5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1" customHeight="1" x14ac:dyDescent="0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5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1" customHeight="1" x14ac:dyDescent="0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5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1" customHeight="1" x14ac:dyDescent="0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5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1" customHeight="1" x14ac:dyDescent="0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5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1" customHeight="1" x14ac:dyDescent="0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5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1" customHeight="1" x14ac:dyDescent="0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5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1" customHeight="1" x14ac:dyDescent="0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5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1" customHeight="1" x14ac:dyDescent="0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5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1" customHeight="1" x14ac:dyDescent="0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5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1" customHeight="1" x14ac:dyDescent="0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5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1" customHeight="1" x14ac:dyDescent="0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5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1" customHeight="1" x14ac:dyDescent="0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5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1" customHeight="1" x14ac:dyDescent="0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5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1" customHeight="1" x14ac:dyDescent="0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5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1" customHeight="1" x14ac:dyDescent="0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5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1" customHeight="1" x14ac:dyDescent="0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5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1" customHeight="1" x14ac:dyDescent="0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5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1" customHeight="1" x14ac:dyDescent="0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5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1" customHeight="1" x14ac:dyDescent="0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5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1" customHeight="1" x14ac:dyDescent="0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5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1" customHeight="1" x14ac:dyDescent="0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5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1" customHeight="1" x14ac:dyDescent="0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5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1" customHeight="1" x14ac:dyDescent="0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5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1" customHeight="1" x14ac:dyDescent="0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5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1" customHeight="1" x14ac:dyDescent="0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5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1" customHeight="1" x14ac:dyDescent="0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5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1" customHeight="1" x14ac:dyDescent="0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5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1" customHeight="1" x14ac:dyDescent="0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5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1" customHeight="1" x14ac:dyDescent="0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5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1" customHeight="1" x14ac:dyDescent="0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5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1" customHeight="1" x14ac:dyDescent="0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5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1" customHeight="1" x14ac:dyDescent="0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5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1" customHeight="1" x14ac:dyDescent="0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5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1" customHeight="1" x14ac:dyDescent="0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5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1" customHeight="1" x14ac:dyDescent="0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5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1" customHeight="1" x14ac:dyDescent="0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5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1" customHeight="1" x14ac:dyDescent="0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5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1" customHeight="1" x14ac:dyDescent="0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5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1" customHeight="1" x14ac:dyDescent="0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5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1" customHeight="1" x14ac:dyDescent="0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5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1" customHeight="1" x14ac:dyDescent="0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5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1" customHeight="1" x14ac:dyDescent="0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5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1" customHeight="1" x14ac:dyDescent="0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5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1" customHeight="1" x14ac:dyDescent="0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5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1" customHeight="1" x14ac:dyDescent="0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5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1" customHeight="1" x14ac:dyDescent="0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5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1" customHeight="1" x14ac:dyDescent="0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5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1" customHeight="1" x14ac:dyDescent="0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5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1" customHeight="1" x14ac:dyDescent="0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5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1" customHeight="1" x14ac:dyDescent="0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5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1" customHeight="1" x14ac:dyDescent="0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5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1" customHeight="1" x14ac:dyDescent="0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5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1" customHeight="1" x14ac:dyDescent="0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5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1" customHeight="1" x14ac:dyDescent="0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5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1" customHeight="1" x14ac:dyDescent="0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5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1" customHeight="1" x14ac:dyDescent="0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5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1" customHeight="1" x14ac:dyDescent="0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5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1" customHeight="1" x14ac:dyDescent="0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5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1" customHeight="1" x14ac:dyDescent="0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5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1" customHeight="1" x14ac:dyDescent="0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5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1" customHeight="1" x14ac:dyDescent="0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5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1" customHeight="1" x14ac:dyDescent="0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5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1" customHeight="1" x14ac:dyDescent="0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5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1" customHeight="1" x14ac:dyDescent="0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5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1" customHeight="1" x14ac:dyDescent="0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5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1" customHeight="1" x14ac:dyDescent="0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5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1" customHeight="1" x14ac:dyDescent="0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5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1" customHeight="1" x14ac:dyDescent="0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5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1" customHeight="1" x14ac:dyDescent="0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5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1" customHeight="1" x14ac:dyDescent="0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5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1" customHeight="1" x14ac:dyDescent="0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5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1" customHeight="1" x14ac:dyDescent="0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5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1" customHeight="1" x14ac:dyDescent="0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5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1" customHeight="1" x14ac:dyDescent="0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5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1" customHeight="1" x14ac:dyDescent="0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5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1" customHeight="1" x14ac:dyDescent="0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5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1" customHeight="1" x14ac:dyDescent="0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5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1" customHeight="1" x14ac:dyDescent="0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5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1" customHeight="1" x14ac:dyDescent="0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5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1" customHeight="1" x14ac:dyDescent="0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5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1" customHeight="1" x14ac:dyDescent="0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5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1" customHeight="1" x14ac:dyDescent="0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5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1" customHeight="1" x14ac:dyDescent="0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5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1" customHeight="1" x14ac:dyDescent="0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5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1" customHeight="1" x14ac:dyDescent="0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5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1" customHeight="1" x14ac:dyDescent="0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5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1" customHeight="1" x14ac:dyDescent="0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5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1" customHeight="1" x14ac:dyDescent="0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5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1" customHeight="1" x14ac:dyDescent="0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5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1" customHeight="1" x14ac:dyDescent="0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5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1" customHeight="1" x14ac:dyDescent="0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5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1" customHeight="1" x14ac:dyDescent="0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5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1" customHeight="1" x14ac:dyDescent="0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5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1" customHeight="1" x14ac:dyDescent="0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5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1" customHeight="1" x14ac:dyDescent="0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5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1" customHeight="1" x14ac:dyDescent="0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5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1" customHeight="1" x14ac:dyDescent="0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5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1" customHeight="1" x14ac:dyDescent="0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5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1" customHeight="1" x14ac:dyDescent="0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5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1" customHeight="1" x14ac:dyDescent="0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5"/>
      <c r="L996" s="5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1" customHeight="1" x14ac:dyDescent="0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5"/>
      <c r="L997" s="5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1" customHeight="1" x14ac:dyDescent="0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5"/>
      <c r="L998" s="5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1" customHeight="1" x14ac:dyDescent="0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5"/>
      <c r="L999" s="5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1" customHeight="1" x14ac:dyDescent="0.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5"/>
      <c r="L1000" s="5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21" customHeight="1" x14ac:dyDescent="0.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5"/>
      <c r="L1001" s="5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21" customHeight="1" x14ac:dyDescent="0.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5"/>
      <c r="L1002" s="5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21" customHeight="1" x14ac:dyDescent="0.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5"/>
      <c r="L1003" s="5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21" customHeight="1" x14ac:dyDescent="0.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5"/>
      <c r="L1004" s="5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21" customHeight="1" x14ac:dyDescent="0.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5"/>
      <c r="L1005" s="5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9">
    <mergeCell ref="A1:M1"/>
    <mergeCell ref="A2:M2"/>
    <mergeCell ref="A3:M3"/>
    <mergeCell ref="J19:K19"/>
    <mergeCell ref="L19:M19"/>
    <mergeCell ref="C19:C20"/>
    <mergeCell ref="D19:E19"/>
    <mergeCell ref="F19:G19"/>
    <mergeCell ref="H19:I19"/>
  </mergeCells>
  <printOptions gridLines="1"/>
  <pageMargins left="0.70866141732283472" right="0.31496062992125984" top="0.74803149606299213" bottom="0.7480314960629921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Pichet Sripichai</cp:lastModifiedBy>
  <cp:lastPrinted>2026-06-24T12:32:55Z</cp:lastPrinted>
  <dcterms:created xsi:type="dcterms:W3CDTF">2020-07-14T01:56:15Z</dcterms:created>
  <dcterms:modified xsi:type="dcterms:W3CDTF">2026-06-24T12:36:48Z</dcterms:modified>
</cp:coreProperties>
</file>